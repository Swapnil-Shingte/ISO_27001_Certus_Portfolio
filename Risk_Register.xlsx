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13_ncr:1_{C0E02DF7-B23D-4884-9641-97AAF5835863}" xr6:coauthVersionLast="36" xr6:coauthVersionMax="36" xr10:uidLastSave="{00000000-0000-0000-0000-000000000000}"/>
  <bookViews>
    <workbookView xWindow="0" yWindow="0" windowWidth="20490" windowHeight="7545" tabRatio="500" xr2:uid="{00000000-000D-0000-FFFF-FFFF00000000}"/>
  </bookViews>
  <sheets>
    <sheet name="Risk Register" sheetId="1" r:id="rId1"/>
    <sheet name="Legend &amp; Risk Matrix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3" i="1" l="1"/>
  <c r="O23" i="1" s="1"/>
  <c r="H23" i="1"/>
  <c r="I23" i="1" s="1"/>
  <c r="N22" i="1"/>
  <c r="O22" i="1" s="1"/>
  <c r="H22" i="1"/>
  <c r="I22" i="1" s="1"/>
  <c r="N21" i="1"/>
  <c r="O21" i="1" s="1"/>
  <c r="H21" i="1"/>
  <c r="I21" i="1" s="1"/>
  <c r="N20" i="1"/>
  <c r="O20" i="1" s="1"/>
  <c r="H20" i="1"/>
  <c r="I20" i="1" s="1"/>
  <c r="N19" i="1"/>
  <c r="O19" i="1" s="1"/>
  <c r="H19" i="1"/>
  <c r="I19" i="1" s="1"/>
  <c r="N18" i="1"/>
  <c r="O18" i="1" s="1"/>
  <c r="H18" i="1"/>
  <c r="I18" i="1" s="1"/>
  <c r="N17" i="1"/>
  <c r="O17" i="1" s="1"/>
  <c r="H17" i="1"/>
  <c r="I17" i="1" s="1"/>
  <c r="N16" i="1"/>
  <c r="O16" i="1" s="1"/>
  <c r="H16" i="1"/>
  <c r="I16" i="1" s="1"/>
  <c r="N15" i="1"/>
  <c r="O15" i="1" s="1"/>
  <c r="H15" i="1"/>
  <c r="I15" i="1" s="1"/>
  <c r="N14" i="1"/>
  <c r="O14" i="1" s="1"/>
  <c r="H14" i="1"/>
  <c r="I14" i="1" s="1"/>
  <c r="N13" i="1"/>
  <c r="O13" i="1" s="1"/>
  <c r="H13" i="1"/>
  <c r="I13" i="1" s="1"/>
  <c r="N12" i="1"/>
  <c r="O12" i="1" s="1"/>
  <c r="H12" i="1"/>
  <c r="I12" i="1" s="1"/>
  <c r="N11" i="1"/>
  <c r="O11" i="1" s="1"/>
  <c r="H11" i="1"/>
  <c r="I11" i="1" s="1"/>
  <c r="N10" i="1"/>
  <c r="O10" i="1" s="1"/>
  <c r="H10" i="1"/>
  <c r="I10" i="1" s="1"/>
  <c r="N9" i="1"/>
  <c r="O9" i="1" s="1"/>
  <c r="H9" i="1"/>
  <c r="I9" i="1" s="1"/>
  <c r="N8" i="1"/>
  <c r="O8" i="1" s="1"/>
  <c r="H8" i="1"/>
  <c r="I8" i="1" s="1"/>
  <c r="N7" i="1"/>
  <c r="O7" i="1" s="1"/>
  <c r="H7" i="1"/>
  <c r="I7" i="1" s="1"/>
  <c r="N6" i="1"/>
  <c r="O6" i="1" s="1"/>
  <c r="H6" i="1"/>
  <c r="I6" i="1" s="1"/>
</calcChain>
</file>

<file path=xl/sharedStrings.xml><?xml version="1.0" encoding="utf-8"?>
<sst xmlns="http://schemas.openxmlformats.org/spreadsheetml/2006/main" count="225" uniqueCount="168">
  <si>
    <t>Certus IT Solutions Pvt. Ltd. — Information Security Risk Register</t>
  </si>
  <si>
    <t>ISO/IEC 27001:2022 — Clause 6.1.2 (Risk Assessment) &amp; 6.1.3 (Risk Treatment) | Portfolio project — fictional company, built to demonstrate applied ISO 27001 knowledge</t>
  </si>
  <si>
    <t>Prepared by: Swapnil Shingte, ISO/IEC 27001:2022 Lead Auditor (CQI-IRCA)   |   Review cycle: Annual, and upon significant change   |   Last reviewed: July 2026</t>
  </si>
  <si>
    <t>Risk
ID</t>
  </si>
  <si>
    <t>Asset</t>
  </si>
  <si>
    <t>Threat</t>
  </si>
  <si>
    <t>Vulnerability</t>
  </si>
  <si>
    <t>Risk Description</t>
  </si>
  <si>
    <t>Likelihood
(1-5)</t>
  </si>
  <si>
    <t>Impact
(1-5)</t>
  </si>
  <si>
    <t>Inherent
Score</t>
  </si>
  <si>
    <t>Inherent
Level</t>
  </si>
  <si>
    <t>Treatment
Option</t>
  </si>
  <si>
    <t>Related Annex A
Control(s)</t>
  </si>
  <si>
    <t>Residual
Likelihood</t>
  </si>
  <si>
    <t>Residual
Impact</t>
  </si>
  <si>
    <t>Residual
Score</t>
  </si>
  <si>
    <t>Residual
Level</t>
  </si>
  <si>
    <t>Risk Owner</t>
  </si>
  <si>
    <t>Status</t>
  </si>
  <si>
    <t>Next Review</t>
  </si>
  <si>
    <t>R-01</t>
  </si>
  <si>
    <t>Endpoint devices (laptops/desktops)</t>
  </si>
  <si>
    <t>Ransomware via phishing email</t>
  </si>
  <si>
    <t>Inconsistent security awareness training; EDR not deployed on 100% of endpoints</t>
  </si>
  <si>
    <t>A user opens a malicious attachment, ransomware encrypts local and mapped network drives, disrupting operations and risking client data loss.</t>
  </si>
  <si>
    <t>Mitigate</t>
  </si>
  <si>
    <t>8.7, 6.3, 8.16</t>
  </si>
  <si>
    <t>Head of IT Security</t>
  </si>
  <si>
    <t>Treated — monitored</t>
  </si>
  <si>
    <t>Jan 2027</t>
  </si>
  <si>
    <t>R-02</t>
  </si>
  <si>
    <t>Client-facing web application</t>
  </si>
  <si>
    <t>External attacker exploiting known CVE</t>
  </si>
  <si>
    <t>Patch SLA for non-critical vulnerabilities not consistently enforced</t>
  </si>
  <si>
    <t>An unpatched vulnerability in the client portal is exploited, leading to unauthorised data access or service disruption for client-facing systems.</t>
  </si>
  <si>
    <t>8.8, 8.25, 8.29</t>
  </si>
  <si>
    <t>DevOps Lead</t>
  </si>
  <si>
    <t>R-03</t>
  </si>
  <si>
    <t>User accounts / Active Directory</t>
  </si>
  <si>
    <t>Insider misuse post-termination</t>
  </si>
  <si>
    <t>No automated offboarding trigger between HRMS and IT access systems</t>
  </si>
  <si>
    <t>A departing employee's system access is not revoked promptly, creating a window for unauthorised access to systems or data after termination.</t>
  </si>
  <si>
    <t>6.5, 5.18</t>
  </si>
  <si>
    <t>HR &amp; IT Ops Manager</t>
  </si>
  <si>
    <t>R-04</t>
  </si>
  <si>
    <t>Cloud storage (AWS S3 / Azure Blob)</t>
  </si>
  <si>
    <t>Data exposure via misconfigured public access</t>
  </si>
  <si>
    <t>No automated cloud security posture management (CSPM) scanning</t>
  </si>
  <si>
    <t>A storage bucket is inadvertently left publicly accessible, exposing client or internal data to unauthorised parties.</t>
  </si>
  <si>
    <t>5.23, 8.9</t>
  </si>
  <si>
    <t>Cloud Infrastructure Lead</t>
  </si>
  <si>
    <t>R-05</t>
  </si>
  <si>
    <t>Client test data shared with QA vendor</t>
  </si>
  <si>
    <t>Third-party vendor security breach</t>
  </si>
  <si>
    <t>No formal security assessment conducted on subcontracted QA vendor</t>
  </si>
  <si>
    <t>Client data shared with an external QA testing vendor is exposed due to inadequate security controls at the vendor.</t>
  </si>
  <si>
    <t>5.19, 5.20, 5.21, 5.22</t>
  </si>
  <si>
    <t>Vendor Management</t>
  </si>
  <si>
    <t>Open — CA in progress</t>
  </si>
  <si>
    <t>R-06</t>
  </si>
  <si>
    <t>Client production databases</t>
  </si>
  <si>
    <t>Data loss during incident</t>
  </si>
  <si>
    <t>Backup restoration not tested in the past 12 months</t>
  </si>
  <si>
    <t>Backups exist but restoration has not been validated; in a real incident, recovery time or data integrity cannot be assured.</t>
  </si>
  <si>
    <t>8.13, 5.29, 5.30</t>
  </si>
  <si>
    <t>Infrastructure Lead</t>
  </si>
  <si>
    <t>R-07</t>
  </si>
  <si>
    <t>User accounts (all systems)</t>
  </si>
  <si>
    <t>Credential stuffing / brute force</t>
  </si>
  <si>
    <t>Password policy allows weak passwords; no organisation-wide MFA</t>
  </si>
  <si>
    <t>Weak or reused passwords are exploited via credential stuffing, granting unauthorised account access.</t>
  </si>
  <si>
    <t>5.17, 8.5</t>
  </si>
  <si>
    <t>R-08</t>
  </si>
  <si>
    <t>Endpoint devices</t>
  </si>
  <si>
    <t>Shadow IT / unauthorised software</t>
  </si>
  <si>
    <t>No automated application allow-listing; manual detection only</t>
  </si>
  <si>
    <t>Employees install unauthorised applications that introduce malware or create unmonitored data exfiltration paths.</t>
  </si>
  <si>
    <t>8.19, 8.9</t>
  </si>
  <si>
    <t>IT Operations</t>
  </si>
  <si>
    <t>R-09</t>
  </si>
  <si>
    <t>Server room (Mumbai HQ)</t>
  </si>
  <si>
    <t>Unauthorised physical access</t>
  </si>
  <si>
    <t>Access log review is manual and infrequent</t>
  </si>
  <si>
    <t>An unauthorised individual gains physical access to the server room, risking tampering, theft, or data exposure.</t>
  </si>
  <si>
    <t>7.1, 7.2, 7.4</t>
  </si>
  <si>
    <t>Facilities &amp; IT Ops</t>
  </si>
  <si>
    <t>R-10</t>
  </si>
  <si>
    <t>Remote employee endpoints / home networks</t>
  </si>
  <si>
    <t>Compromise via unsecured home network</t>
  </si>
  <si>
    <t>No mandated minimum security baseline for home network / router configuration</t>
  </si>
  <si>
    <t>An employee's unsecured home network is compromised, providing an attacker a foothold onto a company-issued device.</t>
  </si>
  <si>
    <t>6.7, 8.1</t>
  </si>
  <si>
    <t>R-11</t>
  </si>
  <si>
    <t>Privileged accounts (admin/root)</t>
  </si>
  <si>
    <t>Account takeover via lack of MFA</t>
  </si>
  <si>
    <t>MFA not enforced on all privileged and administrative accounts</t>
  </si>
  <si>
    <t>A privileged account without MFA is compromised via phishing or credential leak, granting broad unauthorised access.</t>
  </si>
  <si>
    <t>8.2, 8.5</t>
  </si>
  <si>
    <t>R-12</t>
  </si>
  <si>
    <t>IT Helpdesk / password reset process</t>
  </si>
  <si>
    <t>Social engineering targeting helpdesk</t>
  </si>
  <si>
    <t>Identity verification for password reset requests is inconsistent</t>
  </si>
  <si>
    <t>An attacker impersonates an employee to the helpdesk and obtains a password reset, gaining unauthorised account access.</t>
  </si>
  <si>
    <t>5.17, 6.3</t>
  </si>
  <si>
    <t>IT Helpdesk Lead</t>
  </si>
  <si>
    <t>R-13</t>
  </si>
  <si>
    <t>Client and internal sensitive data</t>
  </si>
  <si>
    <t>Data leakage via personal email / USB</t>
  </si>
  <si>
    <t>DLP coverage incomplete across all endpoint and email channels</t>
  </si>
  <si>
    <t>Sensitive client or company data is exfiltrated via personal email or removable media, bypassing monitoring controls.</t>
  </si>
  <si>
    <t>8.12, 5.14</t>
  </si>
  <si>
    <t>R-14</t>
  </si>
  <si>
    <t>Legacy on-premises servers</t>
  </si>
  <si>
    <t>Exploitation of unpatched OS vulnerabilities</t>
  </si>
  <si>
    <t>Legacy servers pending cloud migration receive lower patch priority</t>
  </si>
  <si>
    <t>Legacy infrastructure awaiting migration is exploited due to delayed patching, providing a foothold into the internal network.</t>
  </si>
  <si>
    <t>8.8, 8.9</t>
  </si>
  <si>
    <t>R-15</t>
  </si>
  <si>
    <t>Disaster recovery site</t>
  </si>
  <si>
    <t>Single point of failure in DR architecture</t>
  </si>
  <si>
    <t>DR site relies on a single cloud region with no secondary failover</t>
  </si>
  <si>
    <t>A regional cloud outage affects both production and DR simultaneously, preventing recovery within the target RTO.</t>
  </si>
  <si>
    <t>5.29, 5.30, 8.14</t>
  </si>
  <si>
    <t>R-16</t>
  </si>
  <si>
    <t>Client and employee PII</t>
  </si>
  <si>
    <t>Regulatory non-compliance with DPDPA</t>
  </si>
  <si>
    <t>PII handling procedures not fully aligned with India's Digital Personal Data Protection Act</t>
  </si>
  <si>
    <t>Personal data is processed without adequate consent, retention, or breach-notification procedures, resulting in regulatory exposure.</t>
  </si>
  <si>
    <t>5.31, 5.34</t>
  </si>
  <si>
    <t>Compliance Lead</t>
  </si>
  <si>
    <t>R-17</t>
  </si>
  <si>
    <t>Software build pipeline / dependencies</t>
  </si>
  <si>
    <t>Compromise via vulnerable open-source dependency</t>
  </si>
  <si>
    <t>No automated software composition analysis (SCA) in CI/CD pipeline</t>
  </si>
  <si>
    <t>A known-vulnerable open-source library is included in a client-facing application, introducing an exploitable weakness.</t>
  </si>
  <si>
    <t>8.28, 8.29, 5.21</t>
  </si>
  <si>
    <t>Engineering Lead</t>
  </si>
  <si>
    <t>R-18</t>
  </si>
  <si>
    <t>Privileged access across systems</t>
  </si>
  <si>
    <t>Excessive standing privileged access</t>
  </si>
  <si>
    <t>No just-in-time (JIT) privilege elevation; standing admin rights are common</t>
  </si>
  <si>
    <t>Broad, permanently-granted privileged access increases the impact of any single compromised account.</t>
  </si>
  <si>
    <t>8.2, 5.18</t>
  </si>
  <si>
    <t>Risk Scoring Methodology</t>
  </si>
  <si>
    <t>Score = Likelihood × Impact (each rated 1–5)</t>
  </si>
  <si>
    <t>Score Range</t>
  </si>
  <si>
    <t>Risk Level</t>
  </si>
  <si>
    <t>Response Expectation</t>
  </si>
  <si>
    <t>16 - 25</t>
  </si>
  <si>
    <t>Critical</t>
  </si>
  <si>
    <t>Immediate treatment required; escalate to management; track weekly</t>
  </si>
  <si>
    <t>10 - 15</t>
  </si>
  <si>
    <t>High</t>
  </si>
  <si>
    <t>Treatment required within current quarter; monthly tracking</t>
  </si>
  <si>
    <t>5 - 9</t>
  </si>
  <si>
    <t>Medium</t>
  </si>
  <si>
    <t>Treatment planned within 6 months; quarterly tracking</t>
  </si>
  <si>
    <t>1 - 4</t>
  </si>
  <si>
    <t>Low</t>
  </si>
  <si>
    <t>Acceptable within risk appetite; annual review</t>
  </si>
  <si>
    <t>Treatment Options (ISO/IEC 27001:2022, Clause 6.1.3)</t>
  </si>
  <si>
    <t>Mitigate — implement a control to reduce likelihood and/or impact</t>
  </si>
  <si>
    <t>Avoid — eliminate the risk by discontinuing the activity or asset</t>
  </si>
  <si>
    <t>Transfer — share the risk via insurance or contractual transfer to a third party</t>
  </si>
  <si>
    <t>Accept — formally accept residual risk within approved risk appetite (requires risk owner sign-off)</t>
  </si>
  <si>
    <t>Note: This risk register is a portfolio artefact for a fictional company (Certus IT Solutions Pvt. Ltd.),</t>
  </si>
  <si>
    <t>built to demonstrate practical application of ISO/IEC 27001:2022 Clause 6.1.2/6.1.3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</si>
</sst>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5"/>
      <color rgb="FF1A1A2E"/>
      <name val="Arial"/>
      <charset val="1"/>
    </font>
    <font>
      <i/>
      <sz val="10"/>
      <color rgb="FF555555"/>
      <name val="Arial"/>
      <charset val="1"/>
    </font>
    <font>
      <i/>
      <sz val="9"/>
      <color rgb="FF777777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88888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8D7DA"/>
        <bgColor rgb="FFFDE9D9"/>
      </patternFill>
    </fill>
    <fill>
      <patternFill patternType="solid">
        <fgColor rgb="FFFDE9D9"/>
        <bgColor rgb="FFFFF3CD"/>
      </patternFill>
    </fill>
    <fill>
      <patternFill patternType="solid">
        <fgColor rgb="FFFFF3CD"/>
        <bgColor rgb="FFFDE9D9"/>
      </patternFill>
    </fill>
    <fill>
      <patternFill patternType="solid">
        <fgColor rgb="FFD4EDDA"/>
        <bgColor rgb="FFCC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8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DE9D9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DE9D9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E9D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="99" zoomScaleNormal="99" workbookViewId="0">
      <pane ySplit="5" topLeftCell="A6" activePane="bottomLeft" state="frozen"/>
      <selection pane="bottomLeft" activeCell="D8" sqref="D8"/>
    </sheetView>
  </sheetViews>
  <sheetFormatPr defaultColWidth="8.7109375" defaultRowHeight="15" x14ac:dyDescent="0.25"/>
  <cols>
    <col min="1" max="1" width="4.85546875" bestFit="1" customWidth="1"/>
    <col min="2" max="2" width="20" customWidth="1"/>
    <col min="3" max="3" width="22" customWidth="1"/>
    <col min="4" max="4" width="27.7109375" bestFit="1" customWidth="1"/>
    <col min="5" max="5" width="46.140625" bestFit="1" customWidth="1"/>
    <col min="6" max="6" width="10.7109375" bestFit="1" customWidth="1"/>
    <col min="7" max="7" width="7.140625" bestFit="1" customWidth="1"/>
    <col min="8" max="9" width="8.7109375" bestFit="1" customWidth="1"/>
    <col min="10" max="10" width="10.42578125" bestFit="1" customWidth="1"/>
    <col min="11" max="11" width="19.140625" bestFit="1" customWidth="1"/>
    <col min="12" max="12" width="10.7109375" bestFit="1" customWidth="1"/>
    <col min="13" max="15" width="9" customWidth="1"/>
    <col min="16" max="16" width="19.5703125" bestFit="1" customWidth="1"/>
    <col min="17" max="17" width="13.28515625" bestFit="1" customWidth="1"/>
    <col min="18" max="18" width="8.5703125" bestFit="1" customWidth="1"/>
  </cols>
  <sheetData>
    <row r="1" spans="1:18" ht="19.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5" spans="1:18" ht="38.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spans="1:18" ht="45.75" customHeight="1" x14ac:dyDescent="0.25">
      <c r="A6" s="5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5">
        <v>4</v>
      </c>
      <c r="G6" s="5">
        <v>5</v>
      </c>
      <c r="H6" s="5">
        <f t="shared" ref="H6:H23" si="0">F6*G6</f>
        <v>20</v>
      </c>
      <c r="I6" s="5" t="str">
        <f t="shared" ref="I6:I23" si="1">IF(H6&gt;=16,"Critical",IF(H6&gt;=10,"High",IF(H6&gt;=5,"Medium","Low")))</f>
        <v>Critical</v>
      </c>
      <c r="J6" s="5" t="s">
        <v>26</v>
      </c>
      <c r="K6" s="6" t="s">
        <v>27</v>
      </c>
      <c r="L6" s="5">
        <v>2</v>
      </c>
      <c r="M6" s="5">
        <v>4</v>
      </c>
      <c r="N6" s="5">
        <f t="shared" ref="N6:N23" si="2">L6*M6</f>
        <v>8</v>
      </c>
      <c r="O6" s="5" t="str">
        <f t="shared" ref="O6:O23" si="3">IF(N6&gt;=16,"Critical",IF(N6&gt;=10,"High",IF(N6&gt;=5,"Medium","Low")))</f>
        <v>Medium</v>
      </c>
      <c r="P6" s="6" t="s">
        <v>28</v>
      </c>
      <c r="Q6" s="6" t="s">
        <v>29</v>
      </c>
      <c r="R6" s="5" t="s">
        <v>30</v>
      </c>
    </row>
    <row r="7" spans="1:18" ht="45.75" customHeight="1" x14ac:dyDescent="0.25">
      <c r="A7" s="5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5">
        <v>4</v>
      </c>
      <c r="G7" s="5">
        <v>5</v>
      </c>
      <c r="H7" s="5">
        <f t="shared" si="0"/>
        <v>20</v>
      </c>
      <c r="I7" s="5" t="str">
        <f t="shared" si="1"/>
        <v>Critical</v>
      </c>
      <c r="J7" s="5" t="s">
        <v>26</v>
      </c>
      <c r="K7" s="6" t="s">
        <v>36</v>
      </c>
      <c r="L7" s="5">
        <v>2</v>
      </c>
      <c r="M7" s="5">
        <v>4</v>
      </c>
      <c r="N7" s="5">
        <f t="shared" si="2"/>
        <v>8</v>
      </c>
      <c r="O7" s="5" t="str">
        <f t="shared" si="3"/>
        <v>Medium</v>
      </c>
      <c r="P7" s="6" t="s">
        <v>37</v>
      </c>
      <c r="Q7" s="6" t="s">
        <v>29</v>
      </c>
      <c r="R7" s="5" t="s">
        <v>30</v>
      </c>
    </row>
    <row r="8" spans="1:18" ht="45.75" customHeight="1" x14ac:dyDescent="0.25">
      <c r="A8" s="5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5">
        <v>3</v>
      </c>
      <c r="G8" s="5">
        <v>4</v>
      </c>
      <c r="H8" s="5">
        <f t="shared" si="0"/>
        <v>12</v>
      </c>
      <c r="I8" s="5" t="str">
        <f t="shared" si="1"/>
        <v>High</v>
      </c>
      <c r="J8" s="5" t="s">
        <v>26</v>
      </c>
      <c r="K8" s="6" t="s">
        <v>43</v>
      </c>
      <c r="L8" s="5">
        <v>1</v>
      </c>
      <c r="M8" s="5">
        <v>3</v>
      </c>
      <c r="N8" s="5">
        <f t="shared" si="2"/>
        <v>3</v>
      </c>
      <c r="O8" s="5" t="str">
        <f t="shared" si="3"/>
        <v>Low</v>
      </c>
      <c r="P8" s="6" t="s">
        <v>44</v>
      </c>
      <c r="Q8" s="6" t="s">
        <v>29</v>
      </c>
      <c r="R8" s="5" t="s">
        <v>30</v>
      </c>
    </row>
    <row r="9" spans="1:18" ht="45.75" customHeight="1" x14ac:dyDescent="0.25">
      <c r="A9" s="5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5">
        <v>3</v>
      </c>
      <c r="G9" s="5">
        <v>5</v>
      </c>
      <c r="H9" s="5">
        <f t="shared" si="0"/>
        <v>15</v>
      </c>
      <c r="I9" s="5" t="str">
        <f t="shared" si="1"/>
        <v>High</v>
      </c>
      <c r="J9" s="5" t="s">
        <v>26</v>
      </c>
      <c r="K9" s="6" t="s">
        <v>50</v>
      </c>
      <c r="L9" s="5">
        <v>1</v>
      </c>
      <c r="M9" s="5">
        <v>4</v>
      </c>
      <c r="N9" s="5">
        <f t="shared" si="2"/>
        <v>4</v>
      </c>
      <c r="O9" s="5" t="str">
        <f t="shared" si="3"/>
        <v>Low</v>
      </c>
      <c r="P9" s="6" t="s">
        <v>51</v>
      </c>
      <c r="Q9" s="6" t="s">
        <v>29</v>
      </c>
      <c r="R9" s="5" t="s">
        <v>30</v>
      </c>
    </row>
    <row r="10" spans="1:18" ht="45.75" customHeight="1" x14ac:dyDescent="0.25">
      <c r="A10" s="5" t="s">
        <v>52</v>
      </c>
      <c r="B10" s="6" t="s">
        <v>53</v>
      </c>
      <c r="C10" s="6" t="s">
        <v>54</v>
      </c>
      <c r="D10" s="6" t="s">
        <v>55</v>
      </c>
      <c r="E10" s="6" t="s">
        <v>56</v>
      </c>
      <c r="F10" s="5">
        <v>3</v>
      </c>
      <c r="G10" s="5">
        <v>4</v>
      </c>
      <c r="H10" s="5">
        <f t="shared" si="0"/>
        <v>12</v>
      </c>
      <c r="I10" s="5" t="str">
        <f t="shared" si="1"/>
        <v>High</v>
      </c>
      <c r="J10" s="5" t="s">
        <v>26</v>
      </c>
      <c r="K10" s="6" t="s">
        <v>57</v>
      </c>
      <c r="L10" s="5">
        <v>2</v>
      </c>
      <c r="M10" s="5">
        <v>3</v>
      </c>
      <c r="N10" s="5">
        <f t="shared" si="2"/>
        <v>6</v>
      </c>
      <c r="O10" s="5" t="str">
        <f t="shared" si="3"/>
        <v>Medium</v>
      </c>
      <c r="P10" s="6" t="s">
        <v>58</v>
      </c>
      <c r="Q10" s="6" t="s">
        <v>59</v>
      </c>
      <c r="R10" s="5" t="s">
        <v>30</v>
      </c>
    </row>
    <row r="11" spans="1:18" ht="45.75" customHeight="1" x14ac:dyDescent="0.25">
      <c r="A11" s="5" t="s">
        <v>60</v>
      </c>
      <c r="B11" s="6" t="s">
        <v>61</v>
      </c>
      <c r="C11" s="6" t="s">
        <v>62</v>
      </c>
      <c r="D11" s="6" t="s">
        <v>63</v>
      </c>
      <c r="E11" s="6" t="s">
        <v>64</v>
      </c>
      <c r="F11" s="5">
        <v>2</v>
      </c>
      <c r="G11" s="5">
        <v>5</v>
      </c>
      <c r="H11" s="5">
        <f t="shared" si="0"/>
        <v>10</v>
      </c>
      <c r="I11" s="5" t="str">
        <f t="shared" si="1"/>
        <v>High</v>
      </c>
      <c r="J11" s="5" t="s">
        <v>26</v>
      </c>
      <c r="K11" s="6" t="s">
        <v>65</v>
      </c>
      <c r="L11" s="5">
        <v>1</v>
      </c>
      <c r="M11" s="5">
        <v>4</v>
      </c>
      <c r="N11" s="5">
        <f t="shared" si="2"/>
        <v>4</v>
      </c>
      <c r="O11" s="5" t="str">
        <f t="shared" si="3"/>
        <v>Low</v>
      </c>
      <c r="P11" s="6" t="s">
        <v>66</v>
      </c>
      <c r="Q11" s="6" t="s">
        <v>29</v>
      </c>
      <c r="R11" s="5" t="s">
        <v>30</v>
      </c>
    </row>
    <row r="12" spans="1:18" ht="45.75" customHeight="1" x14ac:dyDescent="0.25">
      <c r="A12" s="5" t="s">
        <v>67</v>
      </c>
      <c r="B12" s="6" t="s">
        <v>68</v>
      </c>
      <c r="C12" s="6" t="s">
        <v>69</v>
      </c>
      <c r="D12" s="6" t="s">
        <v>70</v>
      </c>
      <c r="E12" s="6" t="s">
        <v>71</v>
      </c>
      <c r="F12" s="5">
        <v>4</v>
      </c>
      <c r="G12" s="5">
        <v>3</v>
      </c>
      <c r="H12" s="5">
        <f t="shared" si="0"/>
        <v>12</v>
      </c>
      <c r="I12" s="5" t="str">
        <f t="shared" si="1"/>
        <v>High</v>
      </c>
      <c r="J12" s="5" t="s">
        <v>26</v>
      </c>
      <c r="K12" s="6" t="s">
        <v>72</v>
      </c>
      <c r="L12" s="5">
        <v>2</v>
      </c>
      <c r="M12" s="5">
        <v>2</v>
      </c>
      <c r="N12" s="5">
        <f t="shared" si="2"/>
        <v>4</v>
      </c>
      <c r="O12" s="5" t="str">
        <f t="shared" si="3"/>
        <v>Low</v>
      </c>
      <c r="P12" s="6" t="s">
        <v>28</v>
      </c>
      <c r="Q12" s="6" t="s">
        <v>29</v>
      </c>
      <c r="R12" s="5" t="s">
        <v>30</v>
      </c>
    </row>
    <row r="13" spans="1:18" ht="45.75" customHeight="1" x14ac:dyDescent="0.25">
      <c r="A13" s="5" t="s">
        <v>73</v>
      </c>
      <c r="B13" s="6" t="s">
        <v>74</v>
      </c>
      <c r="C13" s="6" t="s">
        <v>75</v>
      </c>
      <c r="D13" s="6" t="s">
        <v>76</v>
      </c>
      <c r="E13" s="6" t="s">
        <v>77</v>
      </c>
      <c r="F13" s="5">
        <v>4</v>
      </c>
      <c r="G13" s="5">
        <v>2</v>
      </c>
      <c r="H13" s="5">
        <f t="shared" si="0"/>
        <v>8</v>
      </c>
      <c r="I13" s="5" t="str">
        <f t="shared" si="1"/>
        <v>Medium</v>
      </c>
      <c r="J13" s="5" t="s">
        <v>26</v>
      </c>
      <c r="K13" s="6" t="s">
        <v>78</v>
      </c>
      <c r="L13" s="5">
        <v>2</v>
      </c>
      <c r="M13" s="5">
        <v>2</v>
      </c>
      <c r="N13" s="5">
        <f t="shared" si="2"/>
        <v>4</v>
      </c>
      <c r="O13" s="5" t="str">
        <f t="shared" si="3"/>
        <v>Low</v>
      </c>
      <c r="P13" s="6" t="s">
        <v>79</v>
      </c>
      <c r="Q13" s="6" t="s">
        <v>29</v>
      </c>
      <c r="R13" s="5" t="s">
        <v>30</v>
      </c>
    </row>
    <row r="14" spans="1:18" ht="45.75" customHeight="1" x14ac:dyDescent="0.25">
      <c r="A14" s="5" t="s">
        <v>80</v>
      </c>
      <c r="B14" s="6" t="s">
        <v>81</v>
      </c>
      <c r="C14" s="6" t="s">
        <v>82</v>
      </c>
      <c r="D14" s="6" t="s">
        <v>83</v>
      </c>
      <c r="E14" s="6" t="s">
        <v>84</v>
      </c>
      <c r="F14" s="5">
        <v>2</v>
      </c>
      <c r="G14" s="5">
        <v>4</v>
      </c>
      <c r="H14" s="5">
        <f t="shared" si="0"/>
        <v>8</v>
      </c>
      <c r="I14" s="5" t="str">
        <f t="shared" si="1"/>
        <v>Medium</v>
      </c>
      <c r="J14" s="5" t="s">
        <v>26</v>
      </c>
      <c r="K14" s="6" t="s">
        <v>85</v>
      </c>
      <c r="L14" s="5">
        <v>1</v>
      </c>
      <c r="M14" s="5">
        <v>3</v>
      </c>
      <c r="N14" s="5">
        <f t="shared" si="2"/>
        <v>3</v>
      </c>
      <c r="O14" s="5" t="str">
        <f t="shared" si="3"/>
        <v>Low</v>
      </c>
      <c r="P14" s="6" t="s">
        <v>86</v>
      </c>
      <c r="Q14" s="6" t="s">
        <v>29</v>
      </c>
      <c r="R14" s="5" t="s">
        <v>30</v>
      </c>
    </row>
    <row r="15" spans="1:18" ht="45.75" customHeight="1" x14ac:dyDescent="0.25">
      <c r="A15" s="5" t="s">
        <v>87</v>
      </c>
      <c r="B15" s="6" t="s">
        <v>88</v>
      </c>
      <c r="C15" s="6" t="s">
        <v>89</v>
      </c>
      <c r="D15" s="6" t="s">
        <v>90</v>
      </c>
      <c r="E15" s="6" t="s">
        <v>91</v>
      </c>
      <c r="F15" s="5">
        <v>3</v>
      </c>
      <c r="G15" s="5">
        <v>3</v>
      </c>
      <c r="H15" s="5">
        <f t="shared" si="0"/>
        <v>9</v>
      </c>
      <c r="I15" s="5" t="str">
        <f t="shared" si="1"/>
        <v>Medium</v>
      </c>
      <c r="J15" s="5" t="s">
        <v>26</v>
      </c>
      <c r="K15" s="6" t="s">
        <v>92</v>
      </c>
      <c r="L15" s="5">
        <v>2</v>
      </c>
      <c r="M15" s="5">
        <v>2</v>
      </c>
      <c r="N15" s="5">
        <f t="shared" si="2"/>
        <v>4</v>
      </c>
      <c r="O15" s="5" t="str">
        <f t="shared" si="3"/>
        <v>Low</v>
      </c>
      <c r="P15" s="6" t="s">
        <v>28</v>
      </c>
      <c r="Q15" s="6" t="s">
        <v>29</v>
      </c>
      <c r="R15" s="5" t="s">
        <v>30</v>
      </c>
    </row>
    <row r="16" spans="1:18" ht="45.75" customHeight="1" x14ac:dyDescent="0.25">
      <c r="A16" s="5" t="s">
        <v>93</v>
      </c>
      <c r="B16" s="6" t="s">
        <v>94</v>
      </c>
      <c r="C16" s="6" t="s">
        <v>95</v>
      </c>
      <c r="D16" s="6" t="s">
        <v>96</v>
      </c>
      <c r="E16" s="6" t="s">
        <v>97</v>
      </c>
      <c r="F16" s="5">
        <v>4</v>
      </c>
      <c r="G16" s="5">
        <v>5</v>
      </c>
      <c r="H16" s="5">
        <f t="shared" si="0"/>
        <v>20</v>
      </c>
      <c r="I16" s="5" t="str">
        <f t="shared" si="1"/>
        <v>Critical</v>
      </c>
      <c r="J16" s="5" t="s">
        <v>26</v>
      </c>
      <c r="K16" s="6" t="s">
        <v>98</v>
      </c>
      <c r="L16" s="5">
        <v>1</v>
      </c>
      <c r="M16" s="5">
        <v>4</v>
      </c>
      <c r="N16" s="5">
        <f t="shared" si="2"/>
        <v>4</v>
      </c>
      <c r="O16" s="5" t="str">
        <f t="shared" si="3"/>
        <v>Low</v>
      </c>
      <c r="P16" s="6" t="s">
        <v>28</v>
      </c>
      <c r="Q16" s="6" t="s">
        <v>29</v>
      </c>
      <c r="R16" s="5" t="s">
        <v>30</v>
      </c>
    </row>
    <row r="17" spans="1:18" ht="45.75" customHeight="1" x14ac:dyDescent="0.25">
      <c r="A17" s="5" t="s">
        <v>99</v>
      </c>
      <c r="B17" s="6" t="s">
        <v>100</v>
      </c>
      <c r="C17" s="6" t="s">
        <v>101</v>
      </c>
      <c r="D17" s="6" t="s">
        <v>102</v>
      </c>
      <c r="E17" s="6" t="s">
        <v>103</v>
      </c>
      <c r="F17" s="5">
        <v>3</v>
      </c>
      <c r="G17" s="5">
        <v>3</v>
      </c>
      <c r="H17" s="5">
        <f t="shared" si="0"/>
        <v>9</v>
      </c>
      <c r="I17" s="5" t="str">
        <f t="shared" si="1"/>
        <v>Medium</v>
      </c>
      <c r="J17" s="5" t="s">
        <v>26</v>
      </c>
      <c r="K17" s="6" t="s">
        <v>104</v>
      </c>
      <c r="L17" s="5">
        <v>1</v>
      </c>
      <c r="M17" s="5">
        <v>2</v>
      </c>
      <c r="N17" s="5">
        <f t="shared" si="2"/>
        <v>2</v>
      </c>
      <c r="O17" s="5" t="str">
        <f t="shared" si="3"/>
        <v>Low</v>
      </c>
      <c r="P17" s="6" t="s">
        <v>105</v>
      </c>
      <c r="Q17" s="6" t="s">
        <v>29</v>
      </c>
      <c r="R17" s="5" t="s">
        <v>30</v>
      </c>
    </row>
    <row r="18" spans="1:18" ht="45.75" customHeight="1" x14ac:dyDescent="0.25">
      <c r="A18" s="5" t="s">
        <v>106</v>
      </c>
      <c r="B18" s="6" t="s">
        <v>107</v>
      </c>
      <c r="C18" s="6" t="s">
        <v>108</v>
      </c>
      <c r="D18" s="6" t="s">
        <v>109</v>
      </c>
      <c r="E18" s="6" t="s">
        <v>110</v>
      </c>
      <c r="F18" s="5">
        <v>3</v>
      </c>
      <c r="G18" s="5">
        <v>4</v>
      </c>
      <c r="H18" s="5">
        <f t="shared" si="0"/>
        <v>12</v>
      </c>
      <c r="I18" s="5" t="str">
        <f t="shared" si="1"/>
        <v>High</v>
      </c>
      <c r="J18" s="5" t="s">
        <v>26</v>
      </c>
      <c r="K18" s="6" t="s">
        <v>111</v>
      </c>
      <c r="L18" s="5">
        <v>1</v>
      </c>
      <c r="M18" s="5">
        <v>3</v>
      </c>
      <c r="N18" s="5">
        <f t="shared" si="2"/>
        <v>3</v>
      </c>
      <c r="O18" s="5" t="str">
        <f t="shared" si="3"/>
        <v>Low</v>
      </c>
      <c r="P18" s="6" t="s">
        <v>28</v>
      </c>
      <c r="Q18" s="6" t="s">
        <v>29</v>
      </c>
      <c r="R18" s="5" t="s">
        <v>30</v>
      </c>
    </row>
    <row r="19" spans="1:18" ht="45.75" customHeight="1" x14ac:dyDescent="0.25">
      <c r="A19" s="5" t="s">
        <v>112</v>
      </c>
      <c r="B19" s="6" t="s">
        <v>113</v>
      </c>
      <c r="C19" s="6" t="s">
        <v>114</v>
      </c>
      <c r="D19" s="6" t="s">
        <v>115</v>
      </c>
      <c r="E19" s="6" t="s">
        <v>116</v>
      </c>
      <c r="F19" s="5">
        <v>3</v>
      </c>
      <c r="G19" s="5">
        <v>4</v>
      </c>
      <c r="H19" s="5">
        <f t="shared" si="0"/>
        <v>12</v>
      </c>
      <c r="I19" s="5" t="str">
        <f t="shared" si="1"/>
        <v>High</v>
      </c>
      <c r="J19" s="5" t="s">
        <v>26</v>
      </c>
      <c r="K19" s="6" t="s">
        <v>117</v>
      </c>
      <c r="L19" s="5">
        <v>2</v>
      </c>
      <c r="M19" s="5">
        <v>3</v>
      </c>
      <c r="N19" s="5">
        <f t="shared" si="2"/>
        <v>6</v>
      </c>
      <c r="O19" s="5" t="str">
        <f t="shared" si="3"/>
        <v>Medium</v>
      </c>
      <c r="P19" s="6" t="s">
        <v>66</v>
      </c>
      <c r="Q19" s="6" t="s">
        <v>59</v>
      </c>
      <c r="R19" s="5" t="s">
        <v>30</v>
      </c>
    </row>
    <row r="20" spans="1:18" ht="45.75" customHeight="1" x14ac:dyDescent="0.25">
      <c r="A20" s="5" t="s">
        <v>118</v>
      </c>
      <c r="B20" s="6" t="s">
        <v>119</v>
      </c>
      <c r="C20" s="6" t="s">
        <v>120</v>
      </c>
      <c r="D20" s="6" t="s">
        <v>121</v>
      </c>
      <c r="E20" s="6" t="s">
        <v>122</v>
      </c>
      <c r="F20" s="5">
        <v>2</v>
      </c>
      <c r="G20" s="5">
        <v>5</v>
      </c>
      <c r="H20" s="5">
        <f t="shared" si="0"/>
        <v>10</v>
      </c>
      <c r="I20" s="5" t="str">
        <f t="shared" si="1"/>
        <v>High</v>
      </c>
      <c r="J20" s="5" t="s">
        <v>26</v>
      </c>
      <c r="K20" s="6" t="s">
        <v>123</v>
      </c>
      <c r="L20" s="5">
        <v>1</v>
      </c>
      <c r="M20" s="5">
        <v>4</v>
      </c>
      <c r="N20" s="5">
        <f t="shared" si="2"/>
        <v>4</v>
      </c>
      <c r="O20" s="5" t="str">
        <f t="shared" si="3"/>
        <v>Low</v>
      </c>
      <c r="P20" s="6" t="s">
        <v>66</v>
      </c>
      <c r="Q20" s="6" t="s">
        <v>29</v>
      </c>
      <c r="R20" s="5" t="s">
        <v>30</v>
      </c>
    </row>
    <row r="21" spans="1:18" ht="45.75" customHeight="1" x14ac:dyDescent="0.25">
      <c r="A21" s="5" t="s">
        <v>124</v>
      </c>
      <c r="B21" s="6" t="s">
        <v>125</v>
      </c>
      <c r="C21" s="6" t="s">
        <v>126</v>
      </c>
      <c r="D21" s="6" t="s">
        <v>127</v>
      </c>
      <c r="E21" s="6" t="s">
        <v>128</v>
      </c>
      <c r="F21" s="5">
        <v>3</v>
      </c>
      <c r="G21" s="5">
        <v>5</v>
      </c>
      <c r="H21" s="5">
        <f t="shared" si="0"/>
        <v>15</v>
      </c>
      <c r="I21" s="5" t="str">
        <f t="shared" si="1"/>
        <v>High</v>
      </c>
      <c r="J21" s="5" t="s">
        <v>26</v>
      </c>
      <c r="K21" s="6" t="s">
        <v>129</v>
      </c>
      <c r="L21" s="5">
        <v>1</v>
      </c>
      <c r="M21" s="5">
        <v>4</v>
      </c>
      <c r="N21" s="5">
        <f t="shared" si="2"/>
        <v>4</v>
      </c>
      <c r="O21" s="5" t="str">
        <f t="shared" si="3"/>
        <v>Low</v>
      </c>
      <c r="P21" s="6" t="s">
        <v>130</v>
      </c>
      <c r="Q21" s="6" t="s">
        <v>59</v>
      </c>
      <c r="R21" s="5" t="s">
        <v>30</v>
      </c>
    </row>
    <row r="22" spans="1:18" ht="45.75" customHeight="1" x14ac:dyDescent="0.25">
      <c r="A22" s="5" t="s">
        <v>131</v>
      </c>
      <c r="B22" s="6" t="s">
        <v>132</v>
      </c>
      <c r="C22" s="6" t="s">
        <v>133</v>
      </c>
      <c r="D22" s="6" t="s">
        <v>134</v>
      </c>
      <c r="E22" s="6" t="s">
        <v>135</v>
      </c>
      <c r="F22" s="5">
        <v>4</v>
      </c>
      <c r="G22" s="5">
        <v>4</v>
      </c>
      <c r="H22" s="5">
        <f t="shared" si="0"/>
        <v>16</v>
      </c>
      <c r="I22" s="5" t="str">
        <f t="shared" si="1"/>
        <v>Critical</v>
      </c>
      <c r="J22" s="5" t="s">
        <v>26</v>
      </c>
      <c r="K22" s="6" t="s">
        <v>136</v>
      </c>
      <c r="L22" s="5">
        <v>2</v>
      </c>
      <c r="M22" s="5">
        <v>3</v>
      </c>
      <c r="N22" s="5">
        <f t="shared" si="2"/>
        <v>6</v>
      </c>
      <c r="O22" s="5" t="str">
        <f t="shared" si="3"/>
        <v>Medium</v>
      </c>
      <c r="P22" s="6" t="s">
        <v>137</v>
      </c>
      <c r="Q22" s="6" t="s">
        <v>59</v>
      </c>
      <c r="R22" s="5" t="s">
        <v>30</v>
      </c>
    </row>
    <row r="23" spans="1:18" ht="45.75" customHeight="1" x14ac:dyDescent="0.25">
      <c r="A23" s="5" t="s">
        <v>138</v>
      </c>
      <c r="B23" s="6" t="s">
        <v>139</v>
      </c>
      <c r="C23" s="6" t="s">
        <v>140</v>
      </c>
      <c r="D23" s="6" t="s">
        <v>141</v>
      </c>
      <c r="E23" s="6" t="s">
        <v>142</v>
      </c>
      <c r="F23" s="5">
        <v>3</v>
      </c>
      <c r="G23" s="5">
        <v>4</v>
      </c>
      <c r="H23" s="5">
        <f t="shared" si="0"/>
        <v>12</v>
      </c>
      <c r="I23" s="5" t="str">
        <f t="shared" si="1"/>
        <v>High</v>
      </c>
      <c r="J23" s="5" t="s">
        <v>26</v>
      </c>
      <c r="K23" s="6" t="s">
        <v>143</v>
      </c>
      <c r="L23" s="5">
        <v>2</v>
      </c>
      <c r="M23" s="5">
        <v>2</v>
      </c>
      <c r="N23" s="5">
        <f t="shared" si="2"/>
        <v>4</v>
      </c>
      <c r="O23" s="5" t="str">
        <f t="shared" si="3"/>
        <v>Low</v>
      </c>
      <c r="P23" s="6" t="s">
        <v>28</v>
      </c>
      <c r="Q23" s="6" t="s">
        <v>29</v>
      </c>
      <c r="R23" s="5" t="s">
        <v>30</v>
      </c>
    </row>
  </sheetData>
  <mergeCells count="3">
    <mergeCell ref="A1:R1"/>
    <mergeCell ref="A2:R2"/>
    <mergeCell ref="A3:R3"/>
  </mergeCells>
  <conditionalFormatting sqref="I6:I23">
    <cfRule type="cellIs" dxfId="7" priority="2" operator="equal">
      <formula>"Critical"</formula>
    </cfRule>
    <cfRule type="cellIs" dxfId="6" priority="3" operator="equal">
      <formula>"High"</formula>
    </cfRule>
    <cfRule type="cellIs" dxfId="5" priority="4" operator="equal">
      <formula>"Medium"</formula>
    </cfRule>
    <cfRule type="cellIs" dxfId="4" priority="5" operator="equal">
      <formula>"Low"</formula>
    </cfRule>
  </conditionalFormatting>
  <conditionalFormatting sqref="O6:O23">
    <cfRule type="cellIs" dxfId="3" priority="6" operator="equal">
      <formula>"Critical"</formula>
    </cfRule>
    <cfRule type="cellIs" dxfId="2" priority="7" operator="equal">
      <formula>"High"</formula>
    </cfRule>
    <cfRule type="cellIs" dxfId="1" priority="8" operator="equal">
      <formula>"Medium"</formula>
    </cfRule>
    <cfRule type="cellIs" dxfId="0" priority="9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/>
  </sheetViews>
  <sheetFormatPr defaultColWidth="8.7109375" defaultRowHeight="15" x14ac:dyDescent="0.25"/>
  <cols>
    <col min="1" max="2" width="14" customWidth="1"/>
    <col min="3" max="3" width="55" customWidth="1"/>
  </cols>
  <sheetData>
    <row r="1" spans="1:5" ht="19.5" x14ac:dyDescent="0.3">
      <c r="A1" s="3" t="s">
        <v>144</v>
      </c>
      <c r="B1" s="3"/>
      <c r="C1" s="3"/>
      <c r="D1" s="3"/>
      <c r="E1" s="3"/>
    </row>
    <row r="3" spans="1:5" x14ac:dyDescent="0.25">
      <c r="A3" s="7" t="s">
        <v>145</v>
      </c>
    </row>
    <row r="5" spans="1:5" x14ac:dyDescent="0.25">
      <c r="A5" s="8" t="s">
        <v>146</v>
      </c>
      <c r="B5" s="8" t="s">
        <v>147</v>
      </c>
      <c r="C5" s="8" t="s">
        <v>148</v>
      </c>
    </row>
    <row r="6" spans="1:5" ht="25.5" x14ac:dyDescent="0.25">
      <c r="A6" s="6" t="s">
        <v>149</v>
      </c>
      <c r="B6" s="9" t="s">
        <v>150</v>
      </c>
      <c r="C6" s="6" t="s">
        <v>151</v>
      </c>
    </row>
    <row r="7" spans="1:5" x14ac:dyDescent="0.25">
      <c r="A7" s="6" t="s">
        <v>152</v>
      </c>
      <c r="B7" s="10" t="s">
        <v>153</v>
      </c>
      <c r="C7" s="6" t="s">
        <v>154</v>
      </c>
    </row>
    <row r="8" spans="1:5" x14ac:dyDescent="0.25">
      <c r="A8" s="6" t="s">
        <v>155</v>
      </c>
      <c r="B8" s="11" t="s">
        <v>156</v>
      </c>
      <c r="C8" s="6" t="s">
        <v>157</v>
      </c>
    </row>
    <row r="9" spans="1:5" x14ac:dyDescent="0.25">
      <c r="A9" s="6" t="s">
        <v>158</v>
      </c>
      <c r="B9" s="12" t="s">
        <v>159</v>
      </c>
      <c r="C9" s="6" t="s">
        <v>160</v>
      </c>
    </row>
    <row r="12" spans="1:5" x14ac:dyDescent="0.25">
      <c r="A12" s="7" t="s">
        <v>161</v>
      </c>
    </row>
    <row r="13" spans="1:5" x14ac:dyDescent="0.25">
      <c r="A13" s="13" t="s">
        <v>162</v>
      </c>
    </row>
    <row r="14" spans="1:5" x14ac:dyDescent="0.25">
      <c r="A14" s="13" t="s">
        <v>163</v>
      </c>
    </row>
    <row r="15" spans="1:5" x14ac:dyDescent="0.25">
      <c r="A15" s="13" t="s">
        <v>164</v>
      </c>
    </row>
    <row r="16" spans="1:5" x14ac:dyDescent="0.25">
      <c r="A16" s="13" t="s">
        <v>165</v>
      </c>
    </row>
    <row r="19" spans="1:1" x14ac:dyDescent="0.25">
      <c r="A19" s="14" t="s">
        <v>166</v>
      </c>
    </row>
    <row r="20" spans="1:1" x14ac:dyDescent="0.25">
      <c r="A20" s="14" t="s">
        <v>167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Legend &amp; 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Sachin</cp:lastModifiedBy>
  <cp:revision>0</cp:revision>
  <dcterms:created xsi:type="dcterms:W3CDTF">2026-07-13T12:29:25Z</dcterms:created>
  <dcterms:modified xsi:type="dcterms:W3CDTF">2026-07-15T05:53:16Z</dcterms:modified>
  <dc:language>en-US</dc:language>
</cp:coreProperties>
</file>