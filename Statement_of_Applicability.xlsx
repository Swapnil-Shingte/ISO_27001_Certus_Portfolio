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<sst xmlns="http://schemas.openxmlformats.org/spreadsheetml/2006/main" count="629" uniqueCount="420">
  <si>
    <t xml:space="preserve">Certus IT Solutions Pvt. Ltd. — Statement of Applicability (SoA)</t>
  </si>
  <si>
    <t xml:space="preserve">ISO/IEC 27001:2022 Annex A — 93 controls across 4 themes | Mandatory document per Clause 6.1.3(d)</t>
  </si>
  <si>
    <t xml:space="preserve">Prepared by: Swapnil Shingte, ISO/IEC 27001:2022 Lead Auditor (CQI-IRCA)   |   Version 1.0   |   July 2026   |   Portfolio project — fictional company</t>
  </si>
  <si>
    <t xml:space="preserve">Control
Ref.</t>
  </si>
  <si>
    <t xml:space="preserve">Control Name</t>
  </si>
  <si>
    <t xml:space="preserve">Applicable
(Y/N)</t>
  </si>
  <si>
    <t xml:space="preserve">Justification</t>
  </si>
  <si>
    <t xml:space="preserve">Implementation
Status</t>
  </si>
  <si>
    <t xml:space="preserve">Related
Risk ID</t>
  </si>
  <si>
    <t xml:space="preserve">Evidence / Reference</t>
  </si>
  <si>
    <t xml:space="preserve">Organisational Controls (37)</t>
  </si>
  <si>
    <t xml:space="preserve">5.1</t>
  </si>
  <si>
    <t xml:space="preserve">Policies for information security</t>
  </si>
  <si>
    <t xml:space="preserve">Y</t>
  </si>
  <si>
    <t xml:space="preserve">Core governance requirement for a certifying organisation</t>
  </si>
  <si>
    <t xml:space="preserve">Implemented</t>
  </si>
  <si>
    <t xml:space="preserve">ISMS Policy v2.1, approved by Directors</t>
  </si>
  <si>
    <t xml:space="preserve">5.2</t>
  </si>
  <si>
    <t xml:space="preserve">Information security roles and responsibilities</t>
  </si>
  <si>
    <t xml:space="preserve">Required to assign clear ownership across IT, HR, and Engineering</t>
  </si>
  <si>
    <t xml:space="preserve">RACI matrix, ISMS org chart</t>
  </si>
  <si>
    <t xml:space="preserve">5.3</t>
  </si>
  <si>
    <t xml:space="preserve">Segregation of duties</t>
  </si>
  <si>
    <t xml:space="preserve">Prevents single-person control over critical changes (e.g. deploy + approve)</t>
  </si>
  <si>
    <t xml:space="preserve">Partially Implemented</t>
  </si>
  <si>
    <t xml:space="preserve">R-17</t>
  </si>
  <si>
    <t xml:space="preserve">CI/CD approval workflow — in progress</t>
  </si>
  <si>
    <t xml:space="preserve">5.4</t>
  </si>
  <si>
    <t xml:space="preserve">Management responsibilities</t>
  </si>
  <si>
    <t xml:space="preserve">Directors formally sponsor and review the ISMS</t>
  </si>
  <si>
    <t xml:space="preserve">Management review minutes</t>
  </si>
  <si>
    <t xml:space="preserve">5.5</t>
  </si>
  <si>
    <t xml:space="preserve">Contact with authorities</t>
  </si>
  <si>
    <t xml:space="preserve">Required for incident reporting (CERT-In) and regulatory liaison</t>
  </si>
  <si>
    <t xml:space="preserve">R-16</t>
  </si>
  <si>
    <t xml:space="preserve">Incident response plan, Sec 4</t>
  </si>
  <si>
    <t xml:space="preserve">5.6</t>
  </si>
  <si>
    <t xml:space="preserve">Contact with special interest groups</t>
  </si>
  <si>
    <t xml:space="preserve">Threat intel sharing via industry ISAC and vendor advisories</t>
  </si>
  <si>
    <t xml:space="preserve">Vendor advisory subscriptions</t>
  </si>
  <si>
    <t xml:space="preserve">5.7</t>
  </si>
  <si>
    <t xml:space="preserve">Threat intelligence</t>
  </si>
  <si>
    <t xml:space="preserve">Feeds inform patch prioritisation and phishing awareness content</t>
  </si>
  <si>
    <t xml:space="preserve">R-01, R-02</t>
  </si>
  <si>
    <t xml:space="preserve">Ad hoc vendor feeds — formal process planned</t>
  </si>
  <si>
    <t xml:space="preserve">5.8</t>
  </si>
  <si>
    <t xml:space="preserve">Information security in project management</t>
  </si>
  <si>
    <t xml:space="preserve">Security requirements included in SDLC and client project kick-off</t>
  </si>
  <si>
    <t xml:space="preserve">Project security checklist</t>
  </si>
  <si>
    <t xml:space="preserve">5.9</t>
  </si>
  <si>
    <t xml:space="preserve">Inventory of information and other associated assets</t>
  </si>
  <si>
    <t xml:space="preserve">Required for endpoint, cloud, and data asset visibility</t>
  </si>
  <si>
    <t xml:space="preserve">Asset register (BMC-equivalent + cloud CMDB)</t>
  </si>
  <si>
    <t xml:space="preserve">5.10</t>
  </si>
  <si>
    <t xml:space="preserve">Acceptable use of information and other associated assets</t>
  </si>
  <si>
    <t xml:space="preserve">Governs endpoint, email, and cloud resource usage</t>
  </si>
  <si>
    <t xml:space="preserve">R-08</t>
  </si>
  <si>
    <t xml:space="preserve">Acceptable Use Policy, signed acknowledgement</t>
  </si>
  <si>
    <t xml:space="preserve">5.11</t>
  </si>
  <si>
    <t xml:space="preserve">Return of assets</t>
  </si>
  <si>
    <t xml:space="preserve">Applies to laptops, access cards, and tokens on exit</t>
  </si>
  <si>
    <t xml:space="preserve">R-03</t>
  </si>
  <si>
    <t xml:space="preserve">Offboarding checklist</t>
  </si>
  <si>
    <t xml:space="preserve">5.12</t>
  </si>
  <si>
    <t xml:space="preserve">Classification of information</t>
  </si>
  <si>
    <t xml:space="preserve">Client data classified by sensitivity (Public/Internal/Confidential/Restricted)</t>
  </si>
  <si>
    <t xml:space="preserve">Data Classification Policy</t>
  </si>
  <si>
    <t xml:space="preserve">5.13</t>
  </si>
  <si>
    <t xml:space="preserve">Labelling of information</t>
  </si>
  <si>
    <t xml:space="preserve">Classification labels applied to documents and repositories</t>
  </si>
  <si>
    <t xml:space="preserve">Labelling enforced in doc templates only</t>
  </si>
  <si>
    <t xml:space="preserve">5.14</t>
  </si>
  <si>
    <t xml:space="preserve">Information transfer</t>
  </si>
  <si>
    <t xml:space="preserve">Governs secure transfer of client data to/from third parties</t>
  </si>
  <si>
    <t xml:space="preserve">R-05, R-13</t>
  </si>
  <si>
    <t xml:space="preserve">Secure file transfer standard</t>
  </si>
  <si>
    <t xml:space="preserve">5.15</t>
  </si>
  <si>
    <t xml:space="preserve">Access control</t>
  </si>
  <si>
    <t xml:space="preserve">Core control underpinning least-privilege across all systems</t>
  </si>
  <si>
    <t xml:space="preserve">R-11, R-18</t>
  </si>
  <si>
    <t xml:space="preserve">Access Control Policy</t>
  </si>
  <si>
    <t xml:space="preserve">5.16</t>
  </si>
  <si>
    <t xml:space="preserve">Identity management</t>
  </si>
  <si>
    <t xml:space="preserve">Central Active Directory identity lifecycle</t>
  </si>
  <si>
    <t xml:space="preserve">AD identity lifecycle procedure</t>
  </si>
  <si>
    <t xml:space="preserve">5.17</t>
  </si>
  <si>
    <t xml:space="preserve">Authentication information</t>
  </si>
  <si>
    <t xml:space="preserve">Password standards and credential handling</t>
  </si>
  <si>
    <t xml:space="preserve">R-07, R-12</t>
  </si>
  <si>
    <t xml:space="preserve">Password Policy</t>
  </si>
  <si>
    <t xml:space="preserve">5.18</t>
  </si>
  <si>
    <t xml:space="preserve">Access rights</t>
  </si>
  <si>
    <t xml:space="preserve">Provisioning, review, and revocation of access rights</t>
  </si>
  <si>
    <t xml:space="preserve">R-03, R-18</t>
  </si>
  <si>
    <t xml:space="preserve">Quarterly access review — Q2 review overdue</t>
  </si>
  <si>
    <t xml:space="preserve">5.19</t>
  </si>
  <si>
    <t xml:space="preserve">Information security in supplier relationships</t>
  </si>
  <si>
    <t xml:space="preserve">Applies to cloud providers and the subcontracted QA vendor</t>
  </si>
  <si>
    <t xml:space="preserve">R-05</t>
  </si>
  <si>
    <t xml:space="preserve">Vendor risk assessment — formal process in progress</t>
  </si>
  <si>
    <t xml:space="preserve">5.20</t>
  </si>
  <si>
    <t xml:space="preserve">Addressing information security within supplier agreements</t>
  </si>
  <si>
    <t xml:space="preserve">Security clauses required in all new supplier contracts</t>
  </si>
  <si>
    <t xml:space="preserve">New contracts updated; legacy contracts pending</t>
  </si>
  <si>
    <t xml:space="preserve">5.21</t>
  </si>
  <si>
    <t xml:space="preserve">Managing information security in the ICT supply chain</t>
  </si>
  <si>
    <t xml:space="preserve">Covers open-source dependency and subcontractor risk</t>
  </si>
  <si>
    <t xml:space="preserve">R-05, R-17</t>
  </si>
  <si>
    <t xml:space="preserve">SCA tooling evaluation in progress</t>
  </si>
  <si>
    <t xml:space="preserve">5.22</t>
  </si>
  <si>
    <t xml:space="preserve">Monitoring, review and change management of supplier services</t>
  </si>
  <si>
    <t xml:space="preserve">Annual review of key supplier security posture</t>
  </si>
  <si>
    <t xml:space="preserve">Planned</t>
  </si>
  <si>
    <t xml:space="preserve">Scheduled Q1 2027</t>
  </si>
  <si>
    <t xml:space="preserve">5.23</t>
  </si>
  <si>
    <t xml:space="preserve">Information security for use of cloud services</t>
  </si>
  <si>
    <t xml:space="preserve">AWS and Azure are core to production and DR infrastructure</t>
  </si>
  <si>
    <t xml:space="preserve">R-04</t>
  </si>
  <si>
    <t xml:space="preserve">Cloud security baseline defined; CSPM tool not yet deployed</t>
  </si>
  <si>
    <t xml:space="preserve">5.24</t>
  </si>
  <si>
    <t xml:space="preserve">Information security incident management planning and preparation</t>
  </si>
  <si>
    <t xml:space="preserve">Documented IR plan required given client-facing services</t>
  </si>
  <si>
    <t xml:space="preserve">Incident Response Plan v1.3</t>
  </si>
  <si>
    <t xml:space="preserve">5.25</t>
  </si>
  <si>
    <t xml:space="preserve">Assessment and decision on information security events</t>
  </si>
  <si>
    <t xml:space="preserve">Triage process for security alerts</t>
  </si>
  <si>
    <t xml:space="preserve">IR Plan, Sec 2</t>
  </si>
  <si>
    <t xml:space="preserve">5.26</t>
  </si>
  <si>
    <t xml:space="preserve">Response to information security incidents</t>
  </si>
  <si>
    <t xml:space="preserve">Defined response procedures by severity</t>
  </si>
  <si>
    <t xml:space="preserve">IR Plan, Sec 3</t>
  </si>
  <si>
    <t xml:space="preserve">5.27</t>
  </si>
  <si>
    <t xml:space="preserve">Learning from information security incidents</t>
  </si>
  <si>
    <t xml:space="preserve">Post-incident review feeds into risk register updates</t>
  </si>
  <si>
    <t xml:space="preserve">Post-incident review template</t>
  </si>
  <si>
    <t xml:space="preserve">5.28</t>
  </si>
  <si>
    <t xml:space="preserve">Collection of evidence</t>
  </si>
  <si>
    <t xml:space="preserve">Required to support incident investigation and potential legal action</t>
  </si>
  <si>
    <t xml:space="preserve">IR Plan, Sec 5 (evidence handling)</t>
  </si>
  <si>
    <t xml:space="preserve">5.29</t>
  </si>
  <si>
    <t xml:space="preserve">Information security during disruption</t>
  </si>
  <si>
    <t xml:space="preserve">Business continuity requirement for client-facing systems</t>
  </si>
  <si>
    <t xml:space="preserve">R-06, R-15</t>
  </si>
  <si>
    <t xml:space="preserve">BCP v1.2</t>
  </si>
  <si>
    <t xml:space="preserve">5.30</t>
  </si>
  <si>
    <t xml:space="preserve">ICT readiness for business continuity</t>
  </si>
  <si>
    <t xml:space="preserve">DR capability for production systems</t>
  </si>
  <si>
    <t xml:space="preserve">R-15</t>
  </si>
  <si>
    <t xml:space="preserve">DR tested annually; multi-region failover planned</t>
  </si>
  <si>
    <t xml:space="preserve">5.31</t>
  </si>
  <si>
    <t xml:space="preserve">Legal, statutory, regulatory and contractual requirements</t>
  </si>
  <si>
    <t xml:space="preserve">DPDPA, client contractual security clauses</t>
  </si>
  <si>
    <t xml:space="preserve">Legal register maintained; DPDPA gap assessment in progress</t>
  </si>
  <si>
    <t xml:space="preserve">5.32</t>
  </si>
  <si>
    <t xml:space="preserve">Intellectual property rights</t>
  </si>
  <si>
    <t xml:space="preserve">Protects client and company IP in code and documentation</t>
  </si>
  <si>
    <t xml:space="preserve">IP clauses in employment &amp; client contracts</t>
  </si>
  <si>
    <t xml:space="preserve">5.33</t>
  </si>
  <si>
    <t xml:space="preserve">Protection of records</t>
  </si>
  <si>
    <t xml:space="preserve">Retention and protection of audit, HR, and financial records</t>
  </si>
  <si>
    <t xml:space="preserve">Records Retention Schedule</t>
  </si>
  <si>
    <t xml:space="preserve">5.34</t>
  </si>
  <si>
    <t xml:space="preserve">Privacy and protection of PII</t>
  </si>
  <si>
    <t xml:space="preserve">Client and employee PII processed; DPDPA applicable</t>
  </si>
  <si>
    <t xml:space="preserve">Privacy impact assessments — planned rollout</t>
  </si>
  <si>
    <t xml:space="preserve">5.35</t>
  </si>
  <si>
    <t xml:space="preserve">Independent review of information security</t>
  </si>
  <si>
    <t xml:space="preserve">Internal audit programme plus planned external certification audit</t>
  </si>
  <si>
    <t xml:space="preserve">Internal audit programme 2026</t>
  </si>
  <si>
    <t xml:space="preserve">5.36</t>
  </si>
  <si>
    <t xml:space="preserve">Compliance with policies, rules and standards for information security</t>
  </si>
  <si>
    <t xml:space="preserve">Policy compliance checked during internal audits</t>
  </si>
  <si>
    <t xml:space="preserve">Internal audit reports</t>
  </si>
  <si>
    <t xml:space="preserve">5.37</t>
  </si>
  <si>
    <t xml:space="preserve">Documented operating procedures</t>
  </si>
  <si>
    <t xml:space="preserve">SOPs required for patch management, access provisioning, incident response</t>
  </si>
  <si>
    <t xml:space="preserve">SOP repository (SharePoint)</t>
  </si>
  <si>
    <t xml:space="preserve">People Controls (8)</t>
  </si>
  <si>
    <t xml:space="preserve">6.1</t>
  </si>
  <si>
    <t xml:space="preserve">Screening</t>
  </si>
  <si>
    <t xml:space="preserve">Background verification for new hires with system access</t>
  </si>
  <si>
    <t xml:space="preserve">HR Screening Procedure</t>
  </si>
  <si>
    <t xml:space="preserve">6.2</t>
  </si>
  <si>
    <t xml:space="preserve">Terms and conditions of employment</t>
  </si>
  <si>
    <t xml:space="preserve">Confidentiality and acceptable use terms in employment contracts</t>
  </si>
  <si>
    <t xml:space="preserve">Employment contract template</t>
  </si>
  <si>
    <t xml:space="preserve">6.3</t>
  </si>
  <si>
    <t xml:space="preserve">Information security awareness, education and training</t>
  </si>
  <si>
    <t xml:space="preserve">Annual awareness programme for all staff</t>
  </si>
  <si>
    <t xml:space="preserve">R-01, R-12</t>
  </si>
  <si>
    <t xml:space="preserve">2023 cohort training records incomplete — see audit finding</t>
  </si>
  <si>
    <t xml:space="preserve">6.4</t>
  </si>
  <si>
    <t xml:space="preserve">Disciplinary process</t>
  </si>
  <si>
    <t xml:space="preserve">Formal process for policy violations</t>
  </si>
  <si>
    <t xml:space="preserve">HR Disciplinary Policy</t>
  </si>
  <si>
    <t xml:space="preserve">6.5</t>
  </si>
  <si>
    <t xml:space="preserve">Responsibilities after termination or change of employment</t>
  </si>
  <si>
    <t xml:space="preserve">Access revocation and asset return on exit</t>
  </si>
  <si>
    <t xml:space="preserve">Manual trigger; HRMS-IT automation planned</t>
  </si>
  <si>
    <t xml:space="preserve">6.6</t>
  </si>
  <si>
    <t xml:space="preserve">Confidentiality or non-disclosure agreements</t>
  </si>
  <si>
    <t xml:space="preserve">NDAs required for employees, contractors, and vendors</t>
  </si>
  <si>
    <t xml:space="preserve">Standard NDA template</t>
  </si>
  <si>
    <t xml:space="preserve">6.7</t>
  </si>
  <si>
    <t xml:space="preserve">Remote working</t>
  </si>
  <si>
    <t xml:space="preserve">60% hybrid workforce requires defined remote work controls</t>
  </si>
  <si>
    <t xml:space="preserve">R-10</t>
  </si>
  <si>
    <t xml:space="preserve">Remote Work Policy exists; home network baseline not enforced</t>
  </si>
  <si>
    <t xml:space="preserve">6.8</t>
  </si>
  <si>
    <t xml:space="preserve">Information security event reporting</t>
  </si>
  <si>
    <t xml:space="preserve">Staff channel for reporting suspected incidents</t>
  </si>
  <si>
    <t xml:space="preserve">IR Plan, Sec 1 (reporting channels)</t>
  </si>
  <si>
    <t xml:space="preserve">Physical Controls (14)</t>
  </si>
  <si>
    <t xml:space="preserve">7.1</t>
  </si>
  <si>
    <t xml:space="preserve">Physical security perimeters</t>
  </si>
  <si>
    <t xml:space="preserve">Applies to Mumbai HQ office and server room</t>
  </si>
  <si>
    <t xml:space="preserve">R-09</t>
  </si>
  <si>
    <t xml:space="preserve">Building access control system</t>
  </si>
  <si>
    <t xml:space="preserve">7.2</t>
  </si>
  <si>
    <t xml:space="preserve">Physical entry</t>
  </si>
  <si>
    <t xml:space="preserve">Card-based entry with visitor logging</t>
  </si>
  <si>
    <t xml:space="preserve">Visitor log procedure</t>
  </si>
  <si>
    <t xml:space="preserve">7.3</t>
  </si>
  <si>
    <t xml:space="preserve">Securing offices, rooms and facilities</t>
  </si>
  <si>
    <t xml:space="preserve">Server room has restricted card access</t>
  </si>
  <si>
    <t xml:space="preserve">Facilities access matrix</t>
  </si>
  <si>
    <t xml:space="preserve">7.4</t>
  </si>
  <si>
    <t xml:space="preserve">Physical security monitoring</t>
  </si>
  <si>
    <t xml:space="preserve">CCTV coverage of entry points and server room</t>
  </si>
  <si>
    <t xml:space="preserve">CCTV installed; log review currently manual/infrequent</t>
  </si>
  <si>
    <t xml:space="preserve">7.5</t>
  </si>
  <si>
    <t xml:space="preserve">Protecting against physical and environmental threats</t>
  </si>
  <si>
    <t xml:space="preserve">Fire suppression and UPS in server room</t>
  </si>
  <si>
    <t xml:space="preserve">Facilities maintenance log</t>
  </si>
  <si>
    <t xml:space="preserve">7.6</t>
  </si>
  <si>
    <t xml:space="preserve">Working in secure areas</t>
  </si>
  <si>
    <t xml:space="preserve">Server room access restricted to authorised IT staff</t>
  </si>
  <si>
    <t xml:space="preserve">7.7</t>
  </si>
  <si>
    <t xml:space="preserve">Clear desk and clear screen</t>
  </si>
  <si>
    <t xml:space="preserve">Applies given client-confidential material handled on-site</t>
  </si>
  <si>
    <t xml:space="preserve">Clear Desk Policy</t>
  </si>
  <si>
    <t xml:space="preserve">7.8</t>
  </si>
  <si>
    <t xml:space="preserve">Equipment siting and protection</t>
  </si>
  <si>
    <t xml:space="preserve">Server room environmental controls</t>
  </si>
  <si>
    <t xml:space="preserve">7.9</t>
  </si>
  <si>
    <t xml:space="preserve">Security of assets off-premises</t>
  </si>
  <si>
    <t xml:space="preserve">Laptops used remotely by hybrid workforce</t>
  </si>
  <si>
    <t xml:space="preserve">Asset register; full-disk encryption enforced</t>
  </si>
  <si>
    <t xml:space="preserve">7.10</t>
  </si>
  <si>
    <t xml:space="preserve">Storage media</t>
  </si>
  <si>
    <t xml:space="preserve">Removable media control given DLP requirements</t>
  </si>
  <si>
    <t xml:space="preserve">R-13</t>
  </si>
  <si>
    <t xml:space="preserve">USB control policy (BMC/EDR enforced)</t>
  </si>
  <si>
    <t xml:space="preserve">7.11</t>
  </si>
  <si>
    <t xml:space="preserve">Supporting utilities</t>
  </si>
  <si>
    <t xml:space="preserve">UPS and backup power for server room</t>
  </si>
  <si>
    <t xml:space="preserve">7.12</t>
  </si>
  <si>
    <t xml:space="preserve">Cabling security</t>
  </si>
  <si>
    <t xml:space="preserve">Structured cabling in server room, access-restricted</t>
  </si>
  <si>
    <t xml:space="preserve">Facilities documentation</t>
  </si>
  <si>
    <t xml:space="preserve">7.13</t>
  </si>
  <si>
    <t xml:space="preserve">Equipment maintenance</t>
  </si>
  <si>
    <t xml:space="preserve">Scheduled maintenance for on-prem infrastructure</t>
  </si>
  <si>
    <t xml:space="preserve">Maintenance schedule</t>
  </si>
  <si>
    <t xml:space="preserve">7.14</t>
  </si>
  <si>
    <t xml:space="preserve">Secure disposal or re-use of equipment</t>
  </si>
  <si>
    <t xml:space="preserve">Data wipe procedure before hardware disposal/reuse</t>
  </si>
  <si>
    <t xml:space="preserve">Asset disposal procedure</t>
  </si>
  <si>
    <t xml:space="preserve">Technological Controls (34)</t>
  </si>
  <si>
    <t xml:space="preserve">8.1</t>
  </si>
  <si>
    <t xml:space="preserve">User endpoint devices</t>
  </si>
  <si>
    <t xml:space="preserve">700+ equivalent endpoint fleet requiring baseline security</t>
  </si>
  <si>
    <t xml:space="preserve">R-01, R-10</t>
  </si>
  <si>
    <t xml:space="preserve">Endpoint security baseline (AV, DLP, patch)</t>
  </si>
  <si>
    <t xml:space="preserve">8.2</t>
  </si>
  <si>
    <t xml:space="preserve">Privileged access rights</t>
  </si>
  <si>
    <t xml:space="preserve">Admin/root access across cloud and on-prem systems</t>
  </si>
  <si>
    <t xml:space="preserve">MFA enforced; JIT elevation not yet implemented</t>
  </si>
  <si>
    <t xml:space="preserve">8.3</t>
  </si>
  <si>
    <t xml:space="preserve">Information access restriction</t>
  </si>
  <si>
    <t xml:space="preserve">Role-based restriction of sensitive client data</t>
  </si>
  <si>
    <t xml:space="preserve">RBAC configuration, application-level</t>
  </si>
  <si>
    <t xml:space="preserve">8.4</t>
  </si>
  <si>
    <t xml:space="preserve">Access to source code</t>
  </si>
  <si>
    <t xml:space="preserve">Source code repositories restricted to engineering team</t>
  </si>
  <si>
    <t xml:space="preserve">Git repository access controls</t>
  </si>
  <si>
    <t xml:space="preserve">8.5</t>
  </si>
  <si>
    <t xml:space="preserve">Secure authentication</t>
  </si>
  <si>
    <t xml:space="preserve">MFA required for privileged and remote access</t>
  </si>
  <si>
    <t xml:space="preserve">R-07, R-11</t>
  </si>
  <si>
    <t xml:space="preserve">MFA on privileged accounts; standard user MFA rollout in progress</t>
  </si>
  <si>
    <t xml:space="preserve">8.6</t>
  </si>
  <si>
    <t xml:space="preserve">Capacity management</t>
  </si>
  <si>
    <t xml:space="preserve">Cloud auto-scaling and capacity monitoring</t>
  </si>
  <si>
    <t xml:space="preserve">Cloud monitoring dashboards</t>
  </si>
  <si>
    <t xml:space="preserve">8.7</t>
  </si>
  <si>
    <t xml:space="preserve">Protection against malware</t>
  </si>
  <si>
    <t xml:space="preserve">EDR/antivirus deployed across endpoint fleet</t>
  </si>
  <si>
    <t xml:space="preserve">R-01</t>
  </si>
  <si>
    <t xml:space="preserve">Symantec/EDR deployment records</t>
  </si>
  <si>
    <t xml:space="preserve">8.8</t>
  </si>
  <si>
    <t xml:space="preserve">Management of technical vulnerabilities</t>
  </si>
  <si>
    <t xml:space="preserve">Patch management across endpoints, servers, and applications</t>
  </si>
  <si>
    <t xml:space="preserve">R-02, R-14</t>
  </si>
  <si>
    <t xml:space="preserve">Critical patch SLA met; non-critical SLA averaging 45 days vs 30-day target</t>
  </si>
  <si>
    <t xml:space="preserve">8.9</t>
  </si>
  <si>
    <t xml:space="preserve">Configuration management</t>
  </si>
  <si>
    <t xml:space="preserve">Baseline configuration for endpoints and cloud resources</t>
  </si>
  <si>
    <t xml:space="preserve">R-04, R-14</t>
  </si>
  <si>
    <t xml:space="preserve">Endpoint baseline enforced; cloud CSPM not yet deployed</t>
  </si>
  <si>
    <t xml:space="preserve">8.10</t>
  </si>
  <si>
    <t xml:space="preserve">Information deletion</t>
  </si>
  <si>
    <t xml:space="preserve">Data retention and secure deletion for client data on offboarding</t>
  </si>
  <si>
    <t xml:space="preserve">Data Retention &amp; Deletion Procedure</t>
  </si>
  <si>
    <t xml:space="preserve">8.11</t>
  </si>
  <si>
    <t xml:space="preserve">Data masking</t>
  </si>
  <si>
    <t xml:space="preserve">Test/QA environments use masked production data</t>
  </si>
  <si>
    <t xml:space="preserve">Data masking procedure for QA datasets</t>
  </si>
  <si>
    <t xml:space="preserve">8.12</t>
  </si>
  <si>
    <t xml:space="preserve">Data leakage prevention</t>
  </si>
  <si>
    <t xml:space="preserve">DLP coverage across endpoints and email</t>
  </si>
  <si>
    <t xml:space="preserve">Endpoint DLP enforced; email DLP coverage incomplete</t>
  </si>
  <si>
    <t xml:space="preserve">8.13</t>
  </si>
  <si>
    <t xml:space="preserve">Information backup</t>
  </si>
  <si>
    <t xml:space="preserve">Daily backups of production databases</t>
  </si>
  <si>
    <t xml:space="preserve">R-06</t>
  </si>
  <si>
    <t xml:space="preserve">Backups run daily; restoration testing not performed in 12 months</t>
  </si>
  <si>
    <t xml:space="preserve">8.14</t>
  </si>
  <si>
    <t xml:space="preserve">Redundancy of information processing facilities</t>
  </si>
  <si>
    <t xml:space="preserve">DR environment for production systems</t>
  </si>
  <si>
    <t xml:space="preserve">Single-region DR; multi-region failover planned</t>
  </si>
  <si>
    <t xml:space="preserve">8.15</t>
  </si>
  <si>
    <t xml:space="preserve">Logging</t>
  </si>
  <si>
    <t xml:space="preserve">Centralised logging for security-relevant events</t>
  </si>
  <si>
    <t xml:space="preserve">SIEM/log aggregation platform</t>
  </si>
  <si>
    <t xml:space="preserve">8.16</t>
  </si>
  <si>
    <t xml:space="preserve">Monitoring activities</t>
  </si>
  <si>
    <t xml:space="preserve">Continuous monitoring of endpoints and cloud environment</t>
  </si>
  <si>
    <t xml:space="preserve">SIEM alert rules, on-call monitoring rota</t>
  </si>
  <si>
    <t xml:space="preserve">8.17</t>
  </si>
  <si>
    <t xml:space="preserve">Clock synchronisation</t>
  </si>
  <si>
    <t xml:space="preserve">NTP synchronisation required for reliable log correlation</t>
  </si>
  <si>
    <t xml:space="preserve">Infrastructure configuration standard</t>
  </si>
  <si>
    <t xml:space="preserve">8.18</t>
  </si>
  <si>
    <t xml:space="preserve">Use of privileged utility programs</t>
  </si>
  <si>
    <t xml:space="preserve">Restriction of admin tools on standard user endpoints</t>
  </si>
  <si>
    <t xml:space="preserve">Endpoint configuration baseline</t>
  </si>
  <si>
    <t xml:space="preserve">8.19</t>
  </si>
  <si>
    <t xml:space="preserve">Installation of software on operational systems</t>
  </si>
  <si>
    <t xml:space="preserve">Controls unauthorised software installation (shadow IT)</t>
  </si>
  <si>
    <t xml:space="preserve">Manual detection; automated allow-listing planned</t>
  </si>
  <si>
    <t xml:space="preserve">8.20</t>
  </si>
  <si>
    <t xml:space="preserve">Networks security</t>
  </si>
  <si>
    <t xml:space="preserve">Firewall and network segmentation controls</t>
  </si>
  <si>
    <t xml:space="preserve">Network architecture diagram</t>
  </si>
  <si>
    <t xml:space="preserve">8.21</t>
  </si>
  <si>
    <t xml:space="preserve">Security of network services</t>
  </si>
  <si>
    <t xml:space="preserve">VPN and remote access service hardening</t>
  </si>
  <si>
    <t xml:space="preserve">VPN configuration standard</t>
  </si>
  <si>
    <t xml:space="preserve">8.22</t>
  </si>
  <si>
    <t xml:space="preserve">Segregation of networks</t>
  </si>
  <si>
    <t xml:space="preserve">Production, corporate, and guest networks segmented</t>
  </si>
  <si>
    <t xml:space="preserve">Network segmentation diagram</t>
  </si>
  <si>
    <t xml:space="preserve">8.23</t>
  </si>
  <si>
    <t xml:space="preserve">Web filtering</t>
  </si>
  <si>
    <t xml:space="preserve">Web content filtering to reduce phishing/malware exposure</t>
  </si>
  <si>
    <t xml:space="preserve">Web filtering proxy configuration</t>
  </si>
  <si>
    <t xml:space="preserve">8.24</t>
  </si>
  <si>
    <t xml:space="preserve">Use of cryptography</t>
  </si>
  <si>
    <t xml:space="preserve">Encryption for data at rest and in transit</t>
  </si>
  <si>
    <t xml:space="preserve">Encryption standard (AES-256, TLS 1.2+)</t>
  </si>
  <si>
    <t xml:space="preserve">8.25</t>
  </si>
  <si>
    <t xml:space="preserve">Secure development life cycle</t>
  </si>
  <si>
    <t xml:space="preserve">SDLC security gates for client-facing applications</t>
  </si>
  <si>
    <t xml:space="preserve">R-02, R-17</t>
  </si>
  <si>
    <t xml:space="preserve">SDLC security checklist</t>
  </si>
  <si>
    <t xml:space="preserve">8.26</t>
  </si>
  <si>
    <t xml:space="preserve">Application security requirements</t>
  </si>
  <si>
    <t xml:space="preserve">Security requirements defined at design phase</t>
  </si>
  <si>
    <t xml:space="preserve">Application security requirements template</t>
  </si>
  <si>
    <t xml:space="preserve">8.27</t>
  </si>
  <si>
    <t xml:space="preserve">Secure system architecture and engineering principles</t>
  </si>
  <si>
    <t xml:space="preserve">Security-by-design principles for new systems</t>
  </si>
  <si>
    <t xml:space="preserve">Architecture review checklist</t>
  </si>
  <si>
    <t xml:space="preserve">8.28</t>
  </si>
  <si>
    <t xml:space="preserve">Secure coding</t>
  </si>
  <si>
    <t xml:space="preserve">Secure coding standards for engineering team</t>
  </si>
  <si>
    <t xml:space="preserve">Secure coding guidelines, code review checklist</t>
  </si>
  <si>
    <t xml:space="preserve">8.29</t>
  </si>
  <si>
    <t xml:space="preserve">Security testing in development and acceptance</t>
  </si>
  <si>
    <t xml:space="preserve">SAST/DAST and penetration testing before release</t>
  </si>
  <si>
    <t xml:space="preserve">SAST integrated; SCA (dependency scanning) not yet automated</t>
  </si>
  <si>
    <t xml:space="preserve">8.30</t>
  </si>
  <si>
    <t xml:space="preserve">Outsourced development</t>
  </si>
  <si>
    <t xml:space="preserve">N</t>
  </si>
  <si>
    <t xml:space="preserve">Certus does not outsource core software development; all development is performed in-house. Third-party QA testing is a distinct service governed under supplier controls 5.19–5.22, not development outsourcing.</t>
  </si>
  <si>
    <t xml:space="preserve">Not Applicable</t>
  </si>
  <si>
    <t xml:space="preserve">N/A — justification documented</t>
  </si>
  <si>
    <t xml:space="preserve">8.31</t>
  </si>
  <si>
    <t xml:space="preserve">Separation of development, test and production environments</t>
  </si>
  <si>
    <t xml:space="preserve">Environment separation enforced via cloud account/subscription structure</t>
  </si>
  <si>
    <t xml:space="preserve">Cloud environment architecture</t>
  </si>
  <si>
    <t xml:space="preserve">8.32</t>
  </si>
  <si>
    <t xml:space="preserve">Change management</t>
  </si>
  <si>
    <t xml:space="preserve">Formal change approval process for production deployments</t>
  </si>
  <si>
    <t xml:space="preserve">Change Management Procedure, CAB minutes</t>
  </si>
  <si>
    <t xml:space="preserve">8.33</t>
  </si>
  <si>
    <t xml:space="preserve">Test information</t>
  </si>
  <si>
    <t xml:space="preserve">Masked/synthetic data used in test environments where feasible</t>
  </si>
  <si>
    <t xml:space="preserve">Data masking procedure</t>
  </si>
  <si>
    <t xml:space="preserve">8.34</t>
  </si>
  <si>
    <t xml:space="preserve">Protection of information systems during audit testing</t>
  </si>
  <si>
    <t xml:space="preserve">Controls to protect production systems during internal/external audit testing</t>
  </si>
  <si>
    <t xml:space="preserve">Audit testing safeguards procedure</t>
  </si>
  <si>
    <t xml:space="preserve">SoA Implementation Summary</t>
  </si>
  <si>
    <t xml:space="preserve">Total Annex A controls</t>
  </si>
  <si>
    <t xml:space="preserve">Applicable</t>
  </si>
  <si>
    <t xml:space="preserve">Not Applicable (status)</t>
  </si>
  <si>
    <t xml:space="preserve">Note: This SoA is a portfolio artefact for a fictional company (Certus IT Solutions Pvt. Ltd.),</t>
  </si>
  <si>
    <t xml:space="preserve">built to demonstrate practical application of ISO/IEC 27001:2022 Annex A and Clause 6.1.3(d).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</si>
</sst>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4A235A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8DFF5"/>
        <bgColor rgb="FFEAEAEA"/>
      </patternFill>
    </fill>
    <fill>
      <patternFill patternType="solid">
        <fgColor rgb="FFD4EDDA"/>
        <bgColor rgb="FFD6EAF8"/>
      </patternFill>
    </fill>
    <fill>
      <patternFill patternType="solid">
        <fgColor rgb="FFFFF3CD"/>
        <bgColor rgb="FFEAEAEA"/>
      </patternFill>
    </fill>
    <fill>
      <patternFill patternType="solid">
        <fgColor rgb="FFD6EAF8"/>
        <bgColor rgb="FFD4EDDA"/>
      </patternFill>
    </fill>
    <fill>
      <patternFill patternType="solid">
        <fgColor rgb="FFF8D7DA"/>
        <bgColor rgb="FFE8DFF5"/>
      </patternFill>
    </fill>
    <fill>
      <patternFill patternType="solid">
        <fgColor rgb="FFEAEAEA"/>
        <bgColor rgb="FFE8DF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D6EAF8"/>
      <rgbColor rgb="FF660066"/>
      <rgbColor rgb="FFFF8080"/>
      <rgbColor rgb="FF0066CC"/>
      <rgbColor rgb="FFE8DF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1A1A2E"/>
      <rgbColor rgb="FF993300"/>
      <rgbColor rgb="FF993366"/>
      <rgbColor rgb="FF555555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1.7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</row>
    <row r="7" customFormat="false" ht="33.75" hidden="false" customHeight="true" outlineLevel="0" collapsed="false">
      <c r="A7" s="6" t="s">
        <v>11</v>
      </c>
      <c r="B7" s="7" t="s">
        <v>12</v>
      </c>
      <c r="C7" s="8" t="s">
        <v>13</v>
      </c>
      <c r="D7" s="7" t="s">
        <v>14</v>
      </c>
      <c r="E7" s="8" t="s">
        <v>15</v>
      </c>
      <c r="F7" s="6"/>
      <c r="G7" s="7" t="s">
        <v>16</v>
      </c>
    </row>
    <row r="8" customFormat="false" ht="33.75" hidden="false" customHeight="true" outlineLevel="0" collapsed="false">
      <c r="A8" s="6" t="s">
        <v>17</v>
      </c>
      <c r="B8" s="7" t="s">
        <v>18</v>
      </c>
      <c r="C8" s="8" t="s">
        <v>13</v>
      </c>
      <c r="D8" s="7" t="s">
        <v>19</v>
      </c>
      <c r="E8" s="8" t="s">
        <v>15</v>
      </c>
      <c r="F8" s="6"/>
      <c r="G8" s="7" t="s">
        <v>20</v>
      </c>
    </row>
    <row r="9" customFormat="false" ht="33.75" hidden="false" customHeight="true" outlineLevel="0" collapsed="false">
      <c r="A9" s="6" t="s">
        <v>21</v>
      </c>
      <c r="B9" s="7" t="s">
        <v>22</v>
      </c>
      <c r="C9" s="8" t="s">
        <v>13</v>
      </c>
      <c r="D9" s="7" t="s">
        <v>23</v>
      </c>
      <c r="E9" s="9" t="s">
        <v>24</v>
      </c>
      <c r="F9" s="6" t="s">
        <v>25</v>
      </c>
      <c r="G9" s="7" t="s">
        <v>26</v>
      </c>
    </row>
    <row r="10" customFormat="false" ht="33.75" hidden="false" customHeight="true" outlineLevel="0" collapsed="false">
      <c r="A10" s="6" t="s">
        <v>27</v>
      </c>
      <c r="B10" s="7" t="s">
        <v>28</v>
      </c>
      <c r="C10" s="8" t="s">
        <v>13</v>
      </c>
      <c r="D10" s="7" t="s">
        <v>29</v>
      </c>
      <c r="E10" s="8" t="s">
        <v>15</v>
      </c>
      <c r="F10" s="6"/>
      <c r="G10" s="7" t="s">
        <v>30</v>
      </c>
    </row>
    <row r="11" customFormat="false" ht="33.75" hidden="false" customHeight="true" outlineLevel="0" collapsed="false">
      <c r="A11" s="6" t="s">
        <v>31</v>
      </c>
      <c r="B11" s="7" t="s">
        <v>32</v>
      </c>
      <c r="C11" s="8" t="s">
        <v>13</v>
      </c>
      <c r="D11" s="7" t="s">
        <v>33</v>
      </c>
      <c r="E11" s="8" t="s">
        <v>15</v>
      </c>
      <c r="F11" s="6" t="s">
        <v>34</v>
      </c>
      <c r="G11" s="7" t="s">
        <v>35</v>
      </c>
    </row>
    <row r="12" customFormat="false" ht="33.75" hidden="false" customHeight="true" outlineLevel="0" collapsed="false">
      <c r="A12" s="6" t="s">
        <v>36</v>
      </c>
      <c r="B12" s="7" t="s">
        <v>37</v>
      </c>
      <c r="C12" s="8" t="s">
        <v>13</v>
      </c>
      <c r="D12" s="7" t="s">
        <v>38</v>
      </c>
      <c r="E12" s="8" t="s">
        <v>15</v>
      </c>
      <c r="F12" s="6"/>
      <c r="G12" s="7" t="s">
        <v>39</v>
      </c>
    </row>
    <row r="13" customFormat="false" ht="33.75" hidden="false" customHeight="true" outlineLevel="0" collapsed="false">
      <c r="A13" s="6" t="s">
        <v>40</v>
      </c>
      <c r="B13" s="7" t="s">
        <v>41</v>
      </c>
      <c r="C13" s="8" t="s">
        <v>13</v>
      </c>
      <c r="D13" s="7" t="s">
        <v>42</v>
      </c>
      <c r="E13" s="9" t="s">
        <v>24</v>
      </c>
      <c r="F13" s="6" t="s">
        <v>43</v>
      </c>
      <c r="G13" s="7" t="s">
        <v>44</v>
      </c>
    </row>
    <row r="14" customFormat="false" ht="33.75" hidden="false" customHeight="true" outlineLevel="0" collapsed="false">
      <c r="A14" s="6" t="s">
        <v>45</v>
      </c>
      <c r="B14" s="7" t="s">
        <v>46</v>
      </c>
      <c r="C14" s="8" t="s">
        <v>13</v>
      </c>
      <c r="D14" s="7" t="s">
        <v>47</v>
      </c>
      <c r="E14" s="8" t="s">
        <v>15</v>
      </c>
      <c r="F14" s="6" t="s">
        <v>25</v>
      </c>
      <c r="G14" s="7" t="s">
        <v>48</v>
      </c>
    </row>
    <row r="15" customFormat="false" ht="33.75" hidden="false" customHeight="true" outlineLevel="0" collapsed="false">
      <c r="A15" s="6" t="s">
        <v>49</v>
      </c>
      <c r="B15" s="7" t="s">
        <v>50</v>
      </c>
      <c r="C15" s="8" t="s">
        <v>13</v>
      </c>
      <c r="D15" s="7" t="s">
        <v>51</v>
      </c>
      <c r="E15" s="8" t="s">
        <v>15</v>
      </c>
      <c r="F15" s="6"/>
      <c r="G15" s="7" t="s">
        <v>52</v>
      </c>
    </row>
    <row r="16" customFormat="false" ht="33.75" hidden="false" customHeight="true" outlineLevel="0" collapsed="false">
      <c r="A16" s="6" t="s">
        <v>53</v>
      </c>
      <c r="B16" s="7" t="s">
        <v>54</v>
      </c>
      <c r="C16" s="8" t="s">
        <v>13</v>
      </c>
      <c r="D16" s="7" t="s">
        <v>55</v>
      </c>
      <c r="E16" s="8" t="s">
        <v>15</v>
      </c>
      <c r="F16" s="6" t="s">
        <v>56</v>
      </c>
      <c r="G16" s="7" t="s">
        <v>57</v>
      </c>
    </row>
    <row r="17" customFormat="false" ht="33.75" hidden="false" customHeight="true" outlineLevel="0" collapsed="false">
      <c r="A17" s="6" t="s">
        <v>58</v>
      </c>
      <c r="B17" s="7" t="s">
        <v>59</v>
      </c>
      <c r="C17" s="8" t="s">
        <v>13</v>
      </c>
      <c r="D17" s="7" t="s">
        <v>60</v>
      </c>
      <c r="E17" s="8" t="s">
        <v>15</v>
      </c>
      <c r="F17" s="6" t="s">
        <v>61</v>
      </c>
      <c r="G17" s="7" t="s">
        <v>62</v>
      </c>
    </row>
    <row r="18" customFormat="false" ht="33.75" hidden="false" customHeight="true" outlineLevel="0" collapsed="false">
      <c r="A18" s="6" t="s">
        <v>63</v>
      </c>
      <c r="B18" s="7" t="s">
        <v>64</v>
      </c>
      <c r="C18" s="8" t="s">
        <v>13</v>
      </c>
      <c r="D18" s="7" t="s">
        <v>65</v>
      </c>
      <c r="E18" s="8" t="s">
        <v>15</v>
      </c>
      <c r="F18" s="6"/>
      <c r="G18" s="7" t="s">
        <v>66</v>
      </c>
    </row>
    <row r="19" customFormat="false" ht="33.75" hidden="false" customHeight="true" outlineLevel="0" collapsed="false">
      <c r="A19" s="6" t="s">
        <v>67</v>
      </c>
      <c r="B19" s="7" t="s">
        <v>68</v>
      </c>
      <c r="C19" s="8" t="s">
        <v>13</v>
      </c>
      <c r="D19" s="7" t="s">
        <v>69</v>
      </c>
      <c r="E19" s="9" t="s">
        <v>24</v>
      </c>
      <c r="F19" s="6"/>
      <c r="G19" s="7" t="s">
        <v>70</v>
      </c>
    </row>
    <row r="20" customFormat="false" ht="33.75" hidden="false" customHeight="true" outlineLevel="0" collapsed="false">
      <c r="A20" s="6" t="s">
        <v>71</v>
      </c>
      <c r="B20" s="7" t="s">
        <v>72</v>
      </c>
      <c r="C20" s="8" t="s">
        <v>13</v>
      </c>
      <c r="D20" s="7" t="s">
        <v>73</v>
      </c>
      <c r="E20" s="8" t="s">
        <v>15</v>
      </c>
      <c r="F20" s="6" t="s">
        <v>74</v>
      </c>
      <c r="G20" s="7" t="s">
        <v>75</v>
      </c>
    </row>
    <row r="21" customFormat="false" ht="33.75" hidden="false" customHeight="true" outlineLevel="0" collapsed="false">
      <c r="A21" s="6" t="s">
        <v>76</v>
      </c>
      <c r="B21" s="7" t="s">
        <v>77</v>
      </c>
      <c r="C21" s="8" t="s">
        <v>13</v>
      </c>
      <c r="D21" s="7" t="s">
        <v>78</v>
      </c>
      <c r="E21" s="8" t="s">
        <v>15</v>
      </c>
      <c r="F21" s="6" t="s">
        <v>79</v>
      </c>
      <c r="G21" s="7" t="s">
        <v>80</v>
      </c>
    </row>
    <row r="22" customFormat="false" ht="33.75" hidden="false" customHeight="true" outlineLevel="0" collapsed="false">
      <c r="A22" s="6" t="s">
        <v>81</v>
      </c>
      <c r="B22" s="7" t="s">
        <v>82</v>
      </c>
      <c r="C22" s="8" t="s">
        <v>13</v>
      </c>
      <c r="D22" s="7" t="s">
        <v>83</v>
      </c>
      <c r="E22" s="8" t="s">
        <v>15</v>
      </c>
      <c r="F22" s="6" t="s">
        <v>61</v>
      </c>
      <c r="G22" s="7" t="s">
        <v>84</v>
      </c>
    </row>
    <row r="23" customFormat="false" ht="33.75" hidden="false" customHeight="true" outlineLevel="0" collapsed="false">
      <c r="A23" s="6" t="s">
        <v>85</v>
      </c>
      <c r="B23" s="7" t="s">
        <v>86</v>
      </c>
      <c r="C23" s="8" t="s">
        <v>13</v>
      </c>
      <c r="D23" s="7" t="s">
        <v>87</v>
      </c>
      <c r="E23" s="8" t="s">
        <v>15</v>
      </c>
      <c r="F23" s="6" t="s">
        <v>88</v>
      </c>
      <c r="G23" s="7" t="s">
        <v>89</v>
      </c>
    </row>
    <row r="24" customFormat="false" ht="33.75" hidden="false" customHeight="true" outlineLevel="0" collapsed="false">
      <c r="A24" s="6" t="s">
        <v>90</v>
      </c>
      <c r="B24" s="7" t="s">
        <v>91</v>
      </c>
      <c r="C24" s="8" t="s">
        <v>13</v>
      </c>
      <c r="D24" s="7" t="s">
        <v>92</v>
      </c>
      <c r="E24" s="9" t="s">
        <v>24</v>
      </c>
      <c r="F24" s="6" t="s">
        <v>93</v>
      </c>
      <c r="G24" s="7" t="s">
        <v>94</v>
      </c>
    </row>
    <row r="25" customFormat="false" ht="33.75" hidden="false" customHeight="true" outlineLevel="0" collapsed="false">
      <c r="A25" s="6" t="s">
        <v>95</v>
      </c>
      <c r="B25" s="7" t="s">
        <v>96</v>
      </c>
      <c r="C25" s="8" t="s">
        <v>13</v>
      </c>
      <c r="D25" s="7" t="s">
        <v>97</v>
      </c>
      <c r="E25" s="9" t="s">
        <v>24</v>
      </c>
      <c r="F25" s="6" t="s">
        <v>98</v>
      </c>
      <c r="G25" s="7" t="s">
        <v>99</v>
      </c>
    </row>
    <row r="26" customFormat="false" ht="33.75" hidden="false" customHeight="true" outlineLevel="0" collapsed="false">
      <c r="A26" s="6" t="s">
        <v>100</v>
      </c>
      <c r="B26" s="7" t="s">
        <v>101</v>
      </c>
      <c r="C26" s="8" t="s">
        <v>13</v>
      </c>
      <c r="D26" s="7" t="s">
        <v>102</v>
      </c>
      <c r="E26" s="9" t="s">
        <v>24</v>
      </c>
      <c r="F26" s="6" t="s">
        <v>98</v>
      </c>
      <c r="G26" s="7" t="s">
        <v>103</v>
      </c>
    </row>
    <row r="27" customFormat="false" ht="33.75" hidden="false" customHeight="true" outlineLevel="0" collapsed="false">
      <c r="A27" s="6" t="s">
        <v>104</v>
      </c>
      <c r="B27" s="7" t="s">
        <v>105</v>
      </c>
      <c r="C27" s="8" t="s">
        <v>13</v>
      </c>
      <c r="D27" s="7" t="s">
        <v>106</v>
      </c>
      <c r="E27" s="9" t="s">
        <v>24</v>
      </c>
      <c r="F27" s="6" t="s">
        <v>107</v>
      </c>
      <c r="G27" s="7" t="s">
        <v>108</v>
      </c>
    </row>
    <row r="28" customFormat="false" ht="33.75" hidden="false" customHeight="true" outlineLevel="0" collapsed="false">
      <c r="A28" s="6" t="s">
        <v>109</v>
      </c>
      <c r="B28" s="7" t="s">
        <v>110</v>
      </c>
      <c r="C28" s="8" t="s">
        <v>13</v>
      </c>
      <c r="D28" s="7" t="s">
        <v>111</v>
      </c>
      <c r="E28" s="10" t="s">
        <v>112</v>
      </c>
      <c r="F28" s="6" t="s">
        <v>98</v>
      </c>
      <c r="G28" s="7" t="s">
        <v>113</v>
      </c>
    </row>
    <row r="29" customFormat="false" ht="33.75" hidden="false" customHeight="true" outlineLevel="0" collapsed="false">
      <c r="A29" s="6" t="s">
        <v>114</v>
      </c>
      <c r="B29" s="7" t="s">
        <v>115</v>
      </c>
      <c r="C29" s="8" t="s">
        <v>13</v>
      </c>
      <c r="D29" s="7" t="s">
        <v>116</v>
      </c>
      <c r="E29" s="9" t="s">
        <v>24</v>
      </c>
      <c r="F29" s="6" t="s">
        <v>117</v>
      </c>
      <c r="G29" s="7" t="s">
        <v>118</v>
      </c>
    </row>
    <row r="30" customFormat="false" ht="33.75" hidden="false" customHeight="true" outlineLevel="0" collapsed="false">
      <c r="A30" s="6" t="s">
        <v>119</v>
      </c>
      <c r="B30" s="7" t="s">
        <v>120</v>
      </c>
      <c r="C30" s="8" t="s">
        <v>13</v>
      </c>
      <c r="D30" s="7" t="s">
        <v>121</v>
      </c>
      <c r="E30" s="8" t="s">
        <v>15</v>
      </c>
      <c r="F30" s="6"/>
      <c r="G30" s="7" t="s">
        <v>122</v>
      </c>
    </row>
    <row r="31" customFormat="false" ht="33.75" hidden="false" customHeight="true" outlineLevel="0" collapsed="false">
      <c r="A31" s="6" t="s">
        <v>123</v>
      </c>
      <c r="B31" s="7" t="s">
        <v>124</v>
      </c>
      <c r="C31" s="8" t="s">
        <v>13</v>
      </c>
      <c r="D31" s="7" t="s">
        <v>125</v>
      </c>
      <c r="E31" s="8" t="s">
        <v>15</v>
      </c>
      <c r="F31" s="6"/>
      <c r="G31" s="7" t="s">
        <v>126</v>
      </c>
    </row>
    <row r="32" customFormat="false" ht="33.75" hidden="false" customHeight="true" outlineLevel="0" collapsed="false">
      <c r="A32" s="6" t="s">
        <v>127</v>
      </c>
      <c r="B32" s="7" t="s">
        <v>128</v>
      </c>
      <c r="C32" s="8" t="s">
        <v>13</v>
      </c>
      <c r="D32" s="7" t="s">
        <v>129</v>
      </c>
      <c r="E32" s="8" t="s">
        <v>15</v>
      </c>
      <c r="F32" s="6"/>
      <c r="G32" s="7" t="s">
        <v>130</v>
      </c>
    </row>
    <row r="33" customFormat="false" ht="33.75" hidden="false" customHeight="true" outlineLevel="0" collapsed="false">
      <c r="A33" s="6" t="s">
        <v>131</v>
      </c>
      <c r="B33" s="7" t="s">
        <v>132</v>
      </c>
      <c r="C33" s="8" t="s">
        <v>13</v>
      </c>
      <c r="D33" s="7" t="s">
        <v>133</v>
      </c>
      <c r="E33" s="8" t="s">
        <v>15</v>
      </c>
      <c r="F33" s="6"/>
      <c r="G33" s="7" t="s">
        <v>134</v>
      </c>
    </row>
    <row r="34" customFormat="false" ht="33.75" hidden="false" customHeight="true" outlineLevel="0" collapsed="false">
      <c r="A34" s="6" t="s">
        <v>135</v>
      </c>
      <c r="B34" s="7" t="s">
        <v>136</v>
      </c>
      <c r="C34" s="8" t="s">
        <v>13</v>
      </c>
      <c r="D34" s="7" t="s">
        <v>137</v>
      </c>
      <c r="E34" s="8" t="s">
        <v>15</v>
      </c>
      <c r="F34" s="6"/>
      <c r="G34" s="7" t="s">
        <v>138</v>
      </c>
    </row>
    <row r="35" customFormat="false" ht="33.75" hidden="false" customHeight="true" outlineLevel="0" collapsed="false">
      <c r="A35" s="6" t="s">
        <v>139</v>
      </c>
      <c r="B35" s="7" t="s">
        <v>140</v>
      </c>
      <c r="C35" s="8" t="s">
        <v>13</v>
      </c>
      <c r="D35" s="7" t="s">
        <v>141</v>
      </c>
      <c r="E35" s="8" t="s">
        <v>15</v>
      </c>
      <c r="F35" s="6" t="s">
        <v>142</v>
      </c>
      <c r="G35" s="7" t="s">
        <v>143</v>
      </c>
    </row>
    <row r="36" customFormat="false" ht="33.75" hidden="false" customHeight="true" outlineLevel="0" collapsed="false">
      <c r="A36" s="6" t="s">
        <v>144</v>
      </c>
      <c r="B36" s="7" t="s">
        <v>145</v>
      </c>
      <c r="C36" s="8" t="s">
        <v>13</v>
      </c>
      <c r="D36" s="7" t="s">
        <v>146</v>
      </c>
      <c r="E36" s="9" t="s">
        <v>24</v>
      </c>
      <c r="F36" s="6" t="s">
        <v>147</v>
      </c>
      <c r="G36" s="7" t="s">
        <v>148</v>
      </c>
    </row>
    <row r="37" customFormat="false" ht="33.75" hidden="false" customHeight="true" outlineLevel="0" collapsed="false">
      <c r="A37" s="6" t="s">
        <v>149</v>
      </c>
      <c r="B37" s="7" t="s">
        <v>150</v>
      </c>
      <c r="C37" s="8" t="s">
        <v>13</v>
      </c>
      <c r="D37" s="7" t="s">
        <v>151</v>
      </c>
      <c r="E37" s="9" t="s">
        <v>24</v>
      </c>
      <c r="F37" s="6" t="s">
        <v>34</v>
      </c>
      <c r="G37" s="7" t="s">
        <v>152</v>
      </c>
    </row>
    <row r="38" customFormat="false" ht="33.75" hidden="false" customHeight="true" outlineLevel="0" collapsed="false">
      <c r="A38" s="6" t="s">
        <v>153</v>
      </c>
      <c r="B38" s="7" t="s">
        <v>154</v>
      </c>
      <c r="C38" s="8" t="s">
        <v>13</v>
      </c>
      <c r="D38" s="7" t="s">
        <v>155</v>
      </c>
      <c r="E38" s="8" t="s">
        <v>15</v>
      </c>
      <c r="F38" s="6"/>
      <c r="G38" s="7" t="s">
        <v>156</v>
      </c>
    </row>
    <row r="39" customFormat="false" ht="33.75" hidden="false" customHeight="true" outlineLevel="0" collapsed="false">
      <c r="A39" s="6" t="s">
        <v>157</v>
      </c>
      <c r="B39" s="7" t="s">
        <v>158</v>
      </c>
      <c r="C39" s="8" t="s">
        <v>13</v>
      </c>
      <c r="D39" s="7" t="s">
        <v>159</v>
      </c>
      <c r="E39" s="8" t="s">
        <v>15</v>
      </c>
      <c r="F39" s="6"/>
      <c r="G39" s="7" t="s">
        <v>160</v>
      </c>
    </row>
    <row r="40" customFormat="false" ht="33.75" hidden="false" customHeight="true" outlineLevel="0" collapsed="false">
      <c r="A40" s="6" t="s">
        <v>161</v>
      </c>
      <c r="B40" s="7" t="s">
        <v>162</v>
      </c>
      <c r="C40" s="8" t="s">
        <v>13</v>
      </c>
      <c r="D40" s="7" t="s">
        <v>163</v>
      </c>
      <c r="E40" s="9" t="s">
        <v>24</v>
      </c>
      <c r="F40" s="6" t="s">
        <v>34</v>
      </c>
      <c r="G40" s="7" t="s">
        <v>164</v>
      </c>
    </row>
    <row r="41" customFormat="false" ht="33.75" hidden="false" customHeight="true" outlineLevel="0" collapsed="false">
      <c r="A41" s="6" t="s">
        <v>165</v>
      </c>
      <c r="B41" s="7" t="s">
        <v>166</v>
      </c>
      <c r="C41" s="8" t="s">
        <v>13</v>
      </c>
      <c r="D41" s="7" t="s">
        <v>167</v>
      </c>
      <c r="E41" s="8" t="s">
        <v>15</v>
      </c>
      <c r="F41" s="6"/>
      <c r="G41" s="7" t="s">
        <v>168</v>
      </c>
    </row>
    <row r="42" customFormat="false" ht="33.75" hidden="false" customHeight="true" outlineLevel="0" collapsed="false">
      <c r="A42" s="6" t="s">
        <v>169</v>
      </c>
      <c r="B42" s="7" t="s">
        <v>170</v>
      </c>
      <c r="C42" s="8" t="s">
        <v>13</v>
      </c>
      <c r="D42" s="7" t="s">
        <v>171</v>
      </c>
      <c r="E42" s="8" t="s">
        <v>15</v>
      </c>
      <c r="F42" s="6"/>
      <c r="G42" s="7" t="s">
        <v>172</v>
      </c>
    </row>
    <row r="43" customFormat="false" ht="33.75" hidden="false" customHeight="true" outlineLevel="0" collapsed="false">
      <c r="A43" s="6" t="s">
        <v>173</v>
      </c>
      <c r="B43" s="7" t="s">
        <v>174</v>
      </c>
      <c r="C43" s="8" t="s">
        <v>13</v>
      </c>
      <c r="D43" s="7" t="s">
        <v>175</v>
      </c>
      <c r="E43" s="8" t="s">
        <v>15</v>
      </c>
      <c r="F43" s="6"/>
      <c r="G43" s="7" t="s">
        <v>176</v>
      </c>
    </row>
    <row r="44" customFormat="false" ht="21.75" hidden="false" customHeight="true" outlineLevel="0" collapsed="false">
      <c r="A44" s="5" t="s">
        <v>177</v>
      </c>
      <c r="B44" s="5"/>
      <c r="C44" s="5"/>
      <c r="D44" s="5"/>
      <c r="E44" s="5"/>
      <c r="F44" s="5"/>
      <c r="G44" s="5"/>
    </row>
    <row r="45" customFormat="false" ht="33.75" hidden="false" customHeight="true" outlineLevel="0" collapsed="false">
      <c r="A45" s="6" t="s">
        <v>178</v>
      </c>
      <c r="B45" s="7" t="s">
        <v>179</v>
      </c>
      <c r="C45" s="8" t="s">
        <v>13</v>
      </c>
      <c r="D45" s="7" t="s">
        <v>180</v>
      </c>
      <c r="E45" s="8" t="s">
        <v>15</v>
      </c>
      <c r="F45" s="6"/>
      <c r="G45" s="7" t="s">
        <v>181</v>
      </c>
    </row>
    <row r="46" customFormat="false" ht="33.75" hidden="false" customHeight="true" outlineLevel="0" collapsed="false">
      <c r="A46" s="6" t="s">
        <v>182</v>
      </c>
      <c r="B46" s="7" t="s">
        <v>183</v>
      </c>
      <c r="C46" s="8" t="s">
        <v>13</v>
      </c>
      <c r="D46" s="7" t="s">
        <v>184</v>
      </c>
      <c r="E46" s="8" t="s">
        <v>15</v>
      </c>
      <c r="F46" s="6"/>
      <c r="G46" s="7" t="s">
        <v>185</v>
      </c>
    </row>
    <row r="47" customFormat="false" ht="33.75" hidden="false" customHeight="true" outlineLevel="0" collapsed="false">
      <c r="A47" s="6" t="s">
        <v>186</v>
      </c>
      <c r="B47" s="7" t="s">
        <v>187</v>
      </c>
      <c r="C47" s="8" t="s">
        <v>13</v>
      </c>
      <c r="D47" s="7" t="s">
        <v>188</v>
      </c>
      <c r="E47" s="9" t="s">
        <v>24</v>
      </c>
      <c r="F47" s="6" t="s">
        <v>189</v>
      </c>
      <c r="G47" s="7" t="s">
        <v>190</v>
      </c>
    </row>
    <row r="48" customFormat="false" ht="33.75" hidden="false" customHeight="true" outlineLevel="0" collapsed="false">
      <c r="A48" s="6" t="s">
        <v>191</v>
      </c>
      <c r="B48" s="7" t="s">
        <v>192</v>
      </c>
      <c r="C48" s="8" t="s">
        <v>13</v>
      </c>
      <c r="D48" s="7" t="s">
        <v>193</v>
      </c>
      <c r="E48" s="8" t="s">
        <v>15</v>
      </c>
      <c r="F48" s="6"/>
      <c r="G48" s="7" t="s">
        <v>194</v>
      </c>
    </row>
    <row r="49" customFormat="false" ht="33.75" hidden="false" customHeight="true" outlineLevel="0" collapsed="false">
      <c r="A49" s="6" t="s">
        <v>195</v>
      </c>
      <c r="B49" s="7" t="s">
        <v>196</v>
      </c>
      <c r="C49" s="8" t="s">
        <v>13</v>
      </c>
      <c r="D49" s="7" t="s">
        <v>197</v>
      </c>
      <c r="E49" s="9" t="s">
        <v>24</v>
      </c>
      <c r="F49" s="6" t="s">
        <v>61</v>
      </c>
      <c r="G49" s="7" t="s">
        <v>198</v>
      </c>
    </row>
    <row r="50" customFormat="false" ht="33.75" hidden="false" customHeight="true" outlineLevel="0" collapsed="false">
      <c r="A50" s="6" t="s">
        <v>199</v>
      </c>
      <c r="B50" s="7" t="s">
        <v>200</v>
      </c>
      <c r="C50" s="8" t="s">
        <v>13</v>
      </c>
      <c r="D50" s="7" t="s">
        <v>201</v>
      </c>
      <c r="E50" s="8" t="s">
        <v>15</v>
      </c>
      <c r="F50" s="6"/>
      <c r="G50" s="7" t="s">
        <v>202</v>
      </c>
    </row>
    <row r="51" customFormat="false" ht="33.75" hidden="false" customHeight="true" outlineLevel="0" collapsed="false">
      <c r="A51" s="6" t="s">
        <v>203</v>
      </c>
      <c r="B51" s="7" t="s">
        <v>204</v>
      </c>
      <c r="C51" s="8" t="s">
        <v>13</v>
      </c>
      <c r="D51" s="7" t="s">
        <v>205</v>
      </c>
      <c r="E51" s="9" t="s">
        <v>24</v>
      </c>
      <c r="F51" s="6" t="s">
        <v>206</v>
      </c>
      <c r="G51" s="7" t="s">
        <v>207</v>
      </c>
    </row>
    <row r="52" customFormat="false" ht="33.75" hidden="false" customHeight="true" outlineLevel="0" collapsed="false">
      <c r="A52" s="6" t="s">
        <v>208</v>
      </c>
      <c r="B52" s="7" t="s">
        <v>209</v>
      </c>
      <c r="C52" s="8" t="s">
        <v>13</v>
      </c>
      <c r="D52" s="7" t="s">
        <v>210</v>
      </c>
      <c r="E52" s="8" t="s">
        <v>15</v>
      </c>
      <c r="F52" s="6"/>
      <c r="G52" s="7" t="s">
        <v>211</v>
      </c>
    </row>
    <row r="53" customFormat="false" ht="21.75" hidden="false" customHeight="true" outlineLevel="0" collapsed="false">
      <c r="A53" s="5" t="s">
        <v>212</v>
      </c>
      <c r="B53" s="5"/>
      <c r="C53" s="5"/>
      <c r="D53" s="5"/>
      <c r="E53" s="5"/>
      <c r="F53" s="5"/>
      <c r="G53" s="5"/>
    </row>
    <row r="54" customFormat="false" ht="33.75" hidden="false" customHeight="true" outlineLevel="0" collapsed="false">
      <c r="A54" s="6" t="s">
        <v>213</v>
      </c>
      <c r="B54" s="7" t="s">
        <v>214</v>
      </c>
      <c r="C54" s="8" t="s">
        <v>13</v>
      </c>
      <c r="D54" s="7" t="s">
        <v>215</v>
      </c>
      <c r="E54" s="8" t="s">
        <v>15</v>
      </c>
      <c r="F54" s="6" t="s">
        <v>216</v>
      </c>
      <c r="G54" s="7" t="s">
        <v>217</v>
      </c>
    </row>
    <row r="55" customFormat="false" ht="33.75" hidden="false" customHeight="true" outlineLevel="0" collapsed="false">
      <c r="A55" s="6" t="s">
        <v>218</v>
      </c>
      <c r="B55" s="7" t="s">
        <v>219</v>
      </c>
      <c r="C55" s="8" t="s">
        <v>13</v>
      </c>
      <c r="D55" s="7" t="s">
        <v>220</v>
      </c>
      <c r="E55" s="8" t="s">
        <v>15</v>
      </c>
      <c r="F55" s="6" t="s">
        <v>216</v>
      </c>
      <c r="G55" s="7" t="s">
        <v>221</v>
      </c>
    </row>
    <row r="56" customFormat="false" ht="33.75" hidden="false" customHeight="true" outlineLevel="0" collapsed="false">
      <c r="A56" s="6" t="s">
        <v>222</v>
      </c>
      <c r="B56" s="7" t="s">
        <v>223</v>
      </c>
      <c r="C56" s="8" t="s">
        <v>13</v>
      </c>
      <c r="D56" s="7" t="s">
        <v>224</v>
      </c>
      <c r="E56" s="8" t="s">
        <v>15</v>
      </c>
      <c r="F56" s="6"/>
      <c r="G56" s="7" t="s">
        <v>225</v>
      </c>
    </row>
    <row r="57" customFormat="false" ht="33.75" hidden="false" customHeight="true" outlineLevel="0" collapsed="false">
      <c r="A57" s="6" t="s">
        <v>226</v>
      </c>
      <c r="B57" s="7" t="s">
        <v>227</v>
      </c>
      <c r="C57" s="8" t="s">
        <v>13</v>
      </c>
      <c r="D57" s="7" t="s">
        <v>228</v>
      </c>
      <c r="E57" s="9" t="s">
        <v>24</v>
      </c>
      <c r="F57" s="6" t="s">
        <v>216</v>
      </c>
      <c r="G57" s="7" t="s">
        <v>229</v>
      </c>
    </row>
    <row r="58" customFormat="false" ht="33.75" hidden="false" customHeight="true" outlineLevel="0" collapsed="false">
      <c r="A58" s="6" t="s">
        <v>230</v>
      </c>
      <c r="B58" s="7" t="s">
        <v>231</v>
      </c>
      <c r="C58" s="8" t="s">
        <v>13</v>
      </c>
      <c r="D58" s="7" t="s">
        <v>232</v>
      </c>
      <c r="E58" s="8" t="s">
        <v>15</v>
      </c>
      <c r="F58" s="6"/>
      <c r="G58" s="7" t="s">
        <v>233</v>
      </c>
    </row>
    <row r="59" customFormat="false" ht="33.75" hidden="false" customHeight="true" outlineLevel="0" collapsed="false">
      <c r="A59" s="6" t="s">
        <v>234</v>
      </c>
      <c r="B59" s="7" t="s">
        <v>235</v>
      </c>
      <c r="C59" s="8" t="s">
        <v>13</v>
      </c>
      <c r="D59" s="7" t="s">
        <v>236</v>
      </c>
      <c r="E59" s="8" t="s">
        <v>15</v>
      </c>
      <c r="F59" s="6"/>
      <c r="G59" s="7" t="s">
        <v>225</v>
      </c>
    </row>
    <row r="60" customFormat="false" ht="33.75" hidden="false" customHeight="true" outlineLevel="0" collapsed="false">
      <c r="A60" s="6" t="s">
        <v>237</v>
      </c>
      <c r="B60" s="7" t="s">
        <v>238</v>
      </c>
      <c r="C60" s="8" t="s">
        <v>13</v>
      </c>
      <c r="D60" s="7" t="s">
        <v>239</v>
      </c>
      <c r="E60" s="8" t="s">
        <v>15</v>
      </c>
      <c r="F60" s="6"/>
      <c r="G60" s="7" t="s">
        <v>240</v>
      </c>
    </row>
    <row r="61" customFormat="false" ht="33.75" hidden="false" customHeight="true" outlineLevel="0" collapsed="false">
      <c r="A61" s="6" t="s">
        <v>241</v>
      </c>
      <c r="B61" s="7" t="s">
        <v>242</v>
      </c>
      <c r="C61" s="8" t="s">
        <v>13</v>
      </c>
      <c r="D61" s="7" t="s">
        <v>243</v>
      </c>
      <c r="E61" s="8" t="s">
        <v>15</v>
      </c>
      <c r="F61" s="6"/>
      <c r="G61" s="7" t="s">
        <v>233</v>
      </c>
    </row>
    <row r="62" customFormat="false" ht="33.75" hidden="false" customHeight="true" outlineLevel="0" collapsed="false">
      <c r="A62" s="6" t="s">
        <v>244</v>
      </c>
      <c r="B62" s="7" t="s">
        <v>245</v>
      </c>
      <c r="C62" s="8" t="s">
        <v>13</v>
      </c>
      <c r="D62" s="7" t="s">
        <v>246</v>
      </c>
      <c r="E62" s="8" t="s">
        <v>15</v>
      </c>
      <c r="F62" s="6" t="s">
        <v>206</v>
      </c>
      <c r="G62" s="7" t="s">
        <v>247</v>
      </c>
    </row>
    <row r="63" customFormat="false" ht="33.75" hidden="false" customHeight="true" outlineLevel="0" collapsed="false">
      <c r="A63" s="6" t="s">
        <v>248</v>
      </c>
      <c r="B63" s="7" t="s">
        <v>249</v>
      </c>
      <c r="C63" s="8" t="s">
        <v>13</v>
      </c>
      <c r="D63" s="7" t="s">
        <v>250</v>
      </c>
      <c r="E63" s="8" t="s">
        <v>15</v>
      </c>
      <c r="F63" s="6" t="s">
        <v>251</v>
      </c>
      <c r="G63" s="7" t="s">
        <v>252</v>
      </c>
    </row>
    <row r="64" customFormat="false" ht="33.75" hidden="false" customHeight="true" outlineLevel="0" collapsed="false">
      <c r="A64" s="6" t="s">
        <v>253</v>
      </c>
      <c r="B64" s="7" t="s">
        <v>254</v>
      </c>
      <c r="C64" s="8" t="s">
        <v>13</v>
      </c>
      <c r="D64" s="7" t="s">
        <v>255</v>
      </c>
      <c r="E64" s="8" t="s">
        <v>15</v>
      </c>
      <c r="F64" s="6"/>
      <c r="G64" s="7" t="s">
        <v>233</v>
      </c>
    </row>
    <row r="65" customFormat="false" ht="33.75" hidden="false" customHeight="true" outlineLevel="0" collapsed="false">
      <c r="A65" s="6" t="s">
        <v>256</v>
      </c>
      <c r="B65" s="7" t="s">
        <v>257</v>
      </c>
      <c r="C65" s="8" t="s">
        <v>13</v>
      </c>
      <c r="D65" s="7" t="s">
        <v>258</v>
      </c>
      <c r="E65" s="8" t="s">
        <v>15</v>
      </c>
      <c r="F65" s="6"/>
      <c r="G65" s="7" t="s">
        <v>259</v>
      </c>
    </row>
    <row r="66" customFormat="false" ht="33.75" hidden="false" customHeight="true" outlineLevel="0" collapsed="false">
      <c r="A66" s="6" t="s">
        <v>260</v>
      </c>
      <c r="B66" s="7" t="s">
        <v>261</v>
      </c>
      <c r="C66" s="8" t="s">
        <v>13</v>
      </c>
      <c r="D66" s="7" t="s">
        <v>262</v>
      </c>
      <c r="E66" s="8" t="s">
        <v>15</v>
      </c>
      <c r="F66" s="6"/>
      <c r="G66" s="7" t="s">
        <v>263</v>
      </c>
    </row>
    <row r="67" customFormat="false" ht="33.75" hidden="false" customHeight="true" outlineLevel="0" collapsed="false">
      <c r="A67" s="6" t="s">
        <v>264</v>
      </c>
      <c r="B67" s="7" t="s">
        <v>265</v>
      </c>
      <c r="C67" s="8" t="s">
        <v>13</v>
      </c>
      <c r="D67" s="7" t="s">
        <v>266</v>
      </c>
      <c r="E67" s="8" t="s">
        <v>15</v>
      </c>
      <c r="F67" s="6"/>
      <c r="G67" s="7" t="s">
        <v>267</v>
      </c>
    </row>
    <row r="68" customFormat="false" ht="21.75" hidden="false" customHeight="true" outlineLevel="0" collapsed="false">
      <c r="A68" s="5" t="s">
        <v>268</v>
      </c>
      <c r="B68" s="5"/>
      <c r="C68" s="5"/>
      <c r="D68" s="5"/>
      <c r="E68" s="5"/>
      <c r="F68" s="5"/>
      <c r="G68" s="5"/>
    </row>
    <row r="69" customFormat="false" ht="33.75" hidden="false" customHeight="true" outlineLevel="0" collapsed="false">
      <c r="A69" s="6" t="s">
        <v>269</v>
      </c>
      <c r="B69" s="7" t="s">
        <v>270</v>
      </c>
      <c r="C69" s="8" t="s">
        <v>13</v>
      </c>
      <c r="D69" s="7" t="s">
        <v>271</v>
      </c>
      <c r="E69" s="8" t="s">
        <v>15</v>
      </c>
      <c r="F69" s="6" t="s">
        <v>272</v>
      </c>
      <c r="G69" s="7" t="s">
        <v>273</v>
      </c>
    </row>
    <row r="70" customFormat="false" ht="33.75" hidden="false" customHeight="true" outlineLevel="0" collapsed="false">
      <c r="A70" s="6" t="s">
        <v>274</v>
      </c>
      <c r="B70" s="7" t="s">
        <v>275</v>
      </c>
      <c r="C70" s="8" t="s">
        <v>13</v>
      </c>
      <c r="D70" s="7" t="s">
        <v>276</v>
      </c>
      <c r="E70" s="9" t="s">
        <v>24</v>
      </c>
      <c r="F70" s="6" t="s">
        <v>79</v>
      </c>
      <c r="G70" s="7" t="s">
        <v>277</v>
      </c>
    </row>
    <row r="71" customFormat="false" ht="33.75" hidden="false" customHeight="true" outlineLevel="0" collapsed="false">
      <c r="A71" s="6" t="s">
        <v>278</v>
      </c>
      <c r="B71" s="7" t="s">
        <v>279</v>
      </c>
      <c r="C71" s="8" t="s">
        <v>13</v>
      </c>
      <c r="D71" s="7" t="s">
        <v>280</v>
      </c>
      <c r="E71" s="8" t="s">
        <v>15</v>
      </c>
      <c r="F71" s="6"/>
      <c r="G71" s="7" t="s">
        <v>281</v>
      </c>
    </row>
    <row r="72" customFormat="false" ht="33.75" hidden="false" customHeight="true" outlineLevel="0" collapsed="false">
      <c r="A72" s="6" t="s">
        <v>282</v>
      </c>
      <c r="B72" s="7" t="s">
        <v>283</v>
      </c>
      <c r="C72" s="8" t="s">
        <v>13</v>
      </c>
      <c r="D72" s="7" t="s">
        <v>284</v>
      </c>
      <c r="E72" s="8" t="s">
        <v>15</v>
      </c>
      <c r="F72" s="6"/>
      <c r="G72" s="7" t="s">
        <v>285</v>
      </c>
    </row>
    <row r="73" customFormat="false" ht="33.75" hidden="false" customHeight="true" outlineLevel="0" collapsed="false">
      <c r="A73" s="6" t="s">
        <v>286</v>
      </c>
      <c r="B73" s="7" t="s">
        <v>287</v>
      </c>
      <c r="C73" s="8" t="s">
        <v>13</v>
      </c>
      <c r="D73" s="7" t="s">
        <v>288</v>
      </c>
      <c r="E73" s="9" t="s">
        <v>24</v>
      </c>
      <c r="F73" s="6" t="s">
        <v>289</v>
      </c>
      <c r="G73" s="7" t="s">
        <v>290</v>
      </c>
    </row>
    <row r="74" customFormat="false" ht="33.75" hidden="false" customHeight="true" outlineLevel="0" collapsed="false">
      <c r="A74" s="6" t="s">
        <v>291</v>
      </c>
      <c r="B74" s="7" t="s">
        <v>292</v>
      </c>
      <c r="C74" s="8" t="s">
        <v>13</v>
      </c>
      <c r="D74" s="7" t="s">
        <v>293</v>
      </c>
      <c r="E74" s="8" t="s">
        <v>15</v>
      </c>
      <c r="F74" s="6"/>
      <c r="G74" s="7" t="s">
        <v>294</v>
      </c>
    </row>
    <row r="75" customFormat="false" ht="33.75" hidden="false" customHeight="true" outlineLevel="0" collapsed="false">
      <c r="A75" s="6" t="s">
        <v>295</v>
      </c>
      <c r="B75" s="7" t="s">
        <v>296</v>
      </c>
      <c r="C75" s="8" t="s">
        <v>13</v>
      </c>
      <c r="D75" s="7" t="s">
        <v>297</v>
      </c>
      <c r="E75" s="8" t="s">
        <v>15</v>
      </c>
      <c r="F75" s="6" t="s">
        <v>298</v>
      </c>
      <c r="G75" s="7" t="s">
        <v>299</v>
      </c>
    </row>
    <row r="76" customFormat="false" ht="33.75" hidden="false" customHeight="true" outlineLevel="0" collapsed="false">
      <c r="A76" s="6" t="s">
        <v>300</v>
      </c>
      <c r="B76" s="7" t="s">
        <v>301</v>
      </c>
      <c r="C76" s="8" t="s">
        <v>13</v>
      </c>
      <c r="D76" s="7" t="s">
        <v>302</v>
      </c>
      <c r="E76" s="9" t="s">
        <v>24</v>
      </c>
      <c r="F76" s="6" t="s">
        <v>303</v>
      </c>
      <c r="G76" s="7" t="s">
        <v>304</v>
      </c>
    </row>
    <row r="77" customFormat="false" ht="33.75" hidden="false" customHeight="true" outlineLevel="0" collapsed="false">
      <c r="A77" s="6" t="s">
        <v>305</v>
      </c>
      <c r="B77" s="7" t="s">
        <v>306</v>
      </c>
      <c r="C77" s="8" t="s">
        <v>13</v>
      </c>
      <c r="D77" s="7" t="s">
        <v>307</v>
      </c>
      <c r="E77" s="9" t="s">
        <v>24</v>
      </c>
      <c r="F77" s="6" t="s">
        <v>308</v>
      </c>
      <c r="G77" s="7" t="s">
        <v>309</v>
      </c>
    </row>
    <row r="78" customFormat="false" ht="33.75" hidden="false" customHeight="true" outlineLevel="0" collapsed="false">
      <c r="A78" s="6" t="s">
        <v>310</v>
      </c>
      <c r="B78" s="7" t="s">
        <v>311</v>
      </c>
      <c r="C78" s="8" t="s">
        <v>13</v>
      </c>
      <c r="D78" s="7" t="s">
        <v>312</v>
      </c>
      <c r="E78" s="8" t="s">
        <v>15</v>
      </c>
      <c r="F78" s="6"/>
      <c r="G78" s="7" t="s">
        <v>313</v>
      </c>
    </row>
    <row r="79" customFormat="false" ht="33.75" hidden="false" customHeight="true" outlineLevel="0" collapsed="false">
      <c r="A79" s="6" t="s">
        <v>314</v>
      </c>
      <c r="B79" s="7" t="s">
        <v>315</v>
      </c>
      <c r="C79" s="8" t="s">
        <v>13</v>
      </c>
      <c r="D79" s="7" t="s">
        <v>316</v>
      </c>
      <c r="E79" s="8" t="s">
        <v>15</v>
      </c>
      <c r="F79" s="6" t="s">
        <v>98</v>
      </c>
      <c r="G79" s="7" t="s">
        <v>317</v>
      </c>
    </row>
    <row r="80" customFormat="false" ht="33.75" hidden="false" customHeight="true" outlineLevel="0" collapsed="false">
      <c r="A80" s="6" t="s">
        <v>318</v>
      </c>
      <c r="B80" s="7" t="s">
        <v>319</v>
      </c>
      <c r="C80" s="8" t="s">
        <v>13</v>
      </c>
      <c r="D80" s="7" t="s">
        <v>320</v>
      </c>
      <c r="E80" s="9" t="s">
        <v>24</v>
      </c>
      <c r="F80" s="6" t="s">
        <v>251</v>
      </c>
      <c r="G80" s="7" t="s">
        <v>321</v>
      </c>
    </row>
    <row r="81" customFormat="false" ht="33.75" hidden="false" customHeight="true" outlineLevel="0" collapsed="false">
      <c r="A81" s="6" t="s">
        <v>322</v>
      </c>
      <c r="B81" s="7" t="s">
        <v>323</v>
      </c>
      <c r="C81" s="8" t="s">
        <v>13</v>
      </c>
      <c r="D81" s="7" t="s">
        <v>324</v>
      </c>
      <c r="E81" s="9" t="s">
        <v>24</v>
      </c>
      <c r="F81" s="6" t="s">
        <v>325</v>
      </c>
      <c r="G81" s="7" t="s">
        <v>326</v>
      </c>
    </row>
    <row r="82" customFormat="false" ht="33.75" hidden="false" customHeight="true" outlineLevel="0" collapsed="false">
      <c r="A82" s="6" t="s">
        <v>327</v>
      </c>
      <c r="B82" s="7" t="s">
        <v>328</v>
      </c>
      <c r="C82" s="8" t="s">
        <v>13</v>
      </c>
      <c r="D82" s="7" t="s">
        <v>329</v>
      </c>
      <c r="E82" s="9" t="s">
        <v>24</v>
      </c>
      <c r="F82" s="6" t="s">
        <v>147</v>
      </c>
      <c r="G82" s="7" t="s">
        <v>330</v>
      </c>
    </row>
    <row r="83" customFormat="false" ht="33.75" hidden="false" customHeight="true" outlineLevel="0" collapsed="false">
      <c r="A83" s="6" t="s">
        <v>331</v>
      </c>
      <c r="B83" s="7" t="s">
        <v>332</v>
      </c>
      <c r="C83" s="8" t="s">
        <v>13</v>
      </c>
      <c r="D83" s="7" t="s">
        <v>333</v>
      </c>
      <c r="E83" s="8" t="s">
        <v>15</v>
      </c>
      <c r="F83" s="6"/>
      <c r="G83" s="7" t="s">
        <v>334</v>
      </c>
    </row>
    <row r="84" customFormat="false" ht="33.75" hidden="false" customHeight="true" outlineLevel="0" collapsed="false">
      <c r="A84" s="6" t="s">
        <v>335</v>
      </c>
      <c r="B84" s="7" t="s">
        <v>336</v>
      </c>
      <c r="C84" s="8" t="s">
        <v>13</v>
      </c>
      <c r="D84" s="7" t="s">
        <v>337</v>
      </c>
      <c r="E84" s="8" t="s">
        <v>15</v>
      </c>
      <c r="F84" s="6" t="s">
        <v>298</v>
      </c>
      <c r="G84" s="7" t="s">
        <v>338</v>
      </c>
    </row>
    <row r="85" customFormat="false" ht="33.75" hidden="false" customHeight="true" outlineLevel="0" collapsed="false">
      <c r="A85" s="6" t="s">
        <v>339</v>
      </c>
      <c r="B85" s="7" t="s">
        <v>340</v>
      </c>
      <c r="C85" s="8" t="s">
        <v>13</v>
      </c>
      <c r="D85" s="7" t="s">
        <v>341</v>
      </c>
      <c r="E85" s="8" t="s">
        <v>15</v>
      </c>
      <c r="F85" s="6"/>
      <c r="G85" s="7" t="s">
        <v>342</v>
      </c>
    </row>
    <row r="86" customFormat="false" ht="33.75" hidden="false" customHeight="true" outlineLevel="0" collapsed="false">
      <c r="A86" s="6" t="s">
        <v>343</v>
      </c>
      <c r="B86" s="7" t="s">
        <v>344</v>
      </c>
      <c r="C86" s="8" t="s">
        <v>13</v>
      </c>
      <c r="D86" s="7" t="s">
        <v>345</v>
      </c>
      <c r="E86" s="8" t="s">
        <v>15</v>
      </c>
      <c r="F86" s="6"/>
      <c r="G86" s="7" t="s">
        <v>346</v>
      </c>
    </row>
    <row r="87" customFormat="false" ht="33.75" hidden="false" customHeight="true" outlineLevel="0" collapsed="false">
      <c r="A87" s="6" t="s">
        <v>347</v>
      </c>
      <c r="B87" s="7" t="s">
        <v>348</v>
      </c>
      <c r="C87" s="8" t="s">
        <v>13</v>
      </c>
      <c r="D87" s="7" t="s">
        <v>349</v>
      </c>
      <c r="E87" s="9" t="s">
        <v>24</v>
      </c>
      <c r="F87" s="6" t="s">
        <v>56</v>
      </c>
      <c r="G87" s="7" t="s">
        <v>350</v>
      </c>
    </row>
    <row r="88" customFormat="false" ht="33.75" hidden="false" customHeight="true" outlineLevel="0" collapsed="false">
      <c r="A88" s="6" t="s">
        <v>351</v>
      </c>
      <c r="B88" s="7" t="s">
        <v>352</v>
      </c>
      <c r="C88" s="8" t="s">
        <v>13</v>
      </c>
      <c r="D88" s="7" t="s">
        <v>353</v>
      </c>
      <c r="E88" s="8" t="s">
        <v>15</v>
      </c>
      <c r="F88" s="6"/>
      <c r="G88" s="7" t="s">
        <v>354</v>
      </c>
    </row>
    <row r="89" customFormat="false" ht="33.75" hidden="false" customHeight="true" outlineLevel="0" collapsed="false">
      <c r="A89" s="6" t="s">
        <v>355</v>
      </c>
      <c r="B89" s="7" t="s">
        <v>356</v>
      </c>
      <c r="C89" s="8" t="s">
        <v>13</v>
      </c>
      <c r="D89" s="7" t="s">
        <v>357</v>
      </c>
      <c r="E89" s="8" t="s">
        <v>15</v>
      </c>
      <c r="F89" s="6" t="s">
        <v>206</v>
      </c>
      <c r="G89" s="7" t="s">
        <v>358</v>
      </c>
    </row>
    <row r="90" customFormat="false" ht="33.75" hidden="false" customHeight="true" outlineLevel="0" collapsed="false">
      <c r="A90" s="6" t="s">
        <v>359</v>
      </c>
      <c r="B90" s="7" t="s">
        <v>360</v>
      </c>
      <c r="C90" s="8" t="s">
        <v>13</v>
      </c>
      <c r="D90" s="7" t="s">
        <v>361</v>
      </c>
      <c r="E90" s="8" t="s">
        <v>15</v>
      </c>
      <c r="F90" s="6"/>
      <c r="G90" s="7" t="s">
        <v>362</v>
      </c>
    </row>
    <row r="91" customFormat="false" ht="33.75" hidden="false" customHeight="true" outlineLevel="0" collapsed="false">
      <c r="A91" s="6" t="s">
        <v>363</v>
      </c>
      <c r="B91" s="7" t="s">
        <v>364</v>
      </c>
      <c r="C91" s="8" t="s">
        <v>13</v>
      </c>
      <c r="D91" s="7" t="s">
        <v>365</v>
      </c>
      <c r="E91" s="8" t="s">
        <v>15</v>
      </c>
      <c r="F91" s="6" t="s">
        <v>298</v>
      </c>
      <c r="G91" s="7" t="s">
        <v>366</v>
      </c>
    </row>
    <row r="92" customFormat="false" ht="33.75" hidden="false" customHeight="true" outlineLevel="0" collapsed="false">
      <c r="A92" s="6" t="s">
        <v>367</v>
      </c>
      <c r="B92" s="7" t="s">
        <v>368</v>
      </c>
      <c r="C92" s="8" t="s">
        <v>13</v>
      </c>
      <c r="D92" s="7" t="s">
        <v>369</v>
      </c>
      <c r="E92" s="8" t="s">
        <v>15</v>
      </c>
      <c r="F92" s="6"/>
      <c r="G92" s="7" t="s">
        <v>370</v>
      </c>
    </row>
    <row r="93" customFormat="false" ht="33.75" hidden="false" customHeight="true" outlineLevel="0" collapsed="false">
      <c r="A93" s="6" t="s">
        <v>371</v>
      </c>
      <c r="B93" s="7" t="s">
        <v>372</v>
      </c>
      <c r="C93" s="8" t="s">
        <v>13</v>
      </c>
      <c r="D93" s="7" t="s">
        <v>373</v>
      </c>
      <c r="E93" s="8" t="s">
        <v>15</v>
      </c>
      <c r="F93" s="6" t="s">
        <v>374</v>
      </c>
      <c r="G93" s="7" t="s">
        <v>375</v>
      </c>
    </row>
    <row r="94" customFormat="false" ht="33.75" hidden="false" customHeight="true" outlineLevel="0" collapsed="false">
      <c r="A94" s="6" t="s">
        <v>376</v>
      </c>
      <c r="B94" s="7" t="s">
        <v>377</v>
      </c>
      <c r="C94" s="8" t="s">
        <v>13</v>
      </c>
      <c r="D94" s="7" t="s">
        <v>378</v>
      </c>
      <c r="E94" s="8" t="s">
        <v>15</v>
      </c>
      <c r="F94" s="6"/>
      <c r="G94" s="7" t="s">
        <v>379</v>
      </c>
    </row>
    <row r="95" customFormat="false" ht="33.75" hidden="false" customHeight="true" outlineLevel="0" collapsed="false">
      <c r="A95" s="6" t="s">
        <v>380</v>
      </c>
      <c r="B95" s="7" t="s">
        <v>381</v>
      </c>
      <c r="C95" s="8" t="s">
        <v>13</v>
      </c>
      <c r="D95" s="7" t="s">
        <v>382</v>
      </c>
      <c r="E95" s="8" t="s">
        <v>15</v>
      </c>
      <c r="F95" s="6"/>
      <c r="G95" s="7" t="s">
        <v>383</v>
      </c>
    </row>
    <row r="96" customFormat="false" ht="33.75" hidden="false" customHeight="true" outlineLevel="0" collapsed="false">
      <c r="A96" s="6" t="s">
        <v>384</v>
      </c>
      <c r="B96" s="7" t="s">
        <v>385</v>
      </c>
      <c r="C96" s="8" t="s">
        <v>13</v>
      </c>
      <c r="D96" s="7" t="s">
        <v>386</v>
      </c>
      <c r="E96" s="8" t="s">
        <v>15</v>
      </c>
      <c r="F96" s="6" t="s">
        <v>25</v>
      </c>
      <c r="G96" s="7" t="s">
        <v>387</v>
      </c>
    </row>
    <row r="97" customFormat="false" ht="33.75" hidden="false" customHeight="true" outlineLevel="0" collapsed="false">
      <c r="A97" s="6" t="s">
        <v>388</v>
      </c>
      <c r="B97" s="7" t="s">
        <v>389</v>
      </c>
      <c r="C97" s="8" t="s">
        <v>13</v>
      </c>
      <c r="D97" s="7" t="s">
        <v>390</v>
      </c>
      <c r="E97" s="9" t="s">
        <v>24</v>
      </c>
      <c r="F97" s="6" t="s">
        <v>374</v>
      </c>
      <c r="G97" s="7" t="s">
        <v>391</v>
      </c>
    </row>
    <row r="98" customFormat="false" ht="33.75" hidden="false" customHeight="true" outlineLevel="0" collapsed="false">
      <c r="A98" s="6" t="s">
        <v>392</v>
      </c>
      <c r="B98" s="7" t="s">
        <v>393</v>
      </c>
      <c r="C98" s="11" t="s">
        <v>394</v>
      </c>
      <c r="D98" s="7" t="s">
        <v>395</v>
      </c>
      <c r="E98" s="12" t="s">
        <v>396</v>
      </c>
      <c r="F98" s="6"/>
      <c r="G98" s="7" t="s">
        <v>397</v>
      </c>
    </row>
    <row r="99" customFormat="false" ht="33.75" hidden="false" customHeight="true" outlineLevel="0" collapsed="false">
      <c r="A99" s="6" t="s">
        <v>398</v>
      </c>
      <c r="B99" s="7" t="s">
        <v>399</v>
      </c>
      <c r="C99" s="8" t="s">
        <v>13</v>
      </c>
      <c r="D99" s="7" t="s">
        <v>400</v>
      </c>
      <c r="E99" s="8" t="s">
        <v>15</v>
      </c>
      <c r="F99" s="6"/>
      <c r="G99" s="7" t="s">
        <v>401</v>
      </c>
    </row>
    <row r="100" customFormat="false" ht="33.75" hidden="false" customHeight="true" outlineLevel="0" collapsed="false">
      <c r="A100" s="6" t="s">
        <v>402</v>
      </c>
      <c r="B100" s="7" t="s">
        <v>403</v>
      </c>
      <c r="C100" s="8" t="s">
        <v>13</v>
      </c>
      <c r="D100" s="7" t="s">
        <v>404</v>
      </c>
      <c r="E100" s="8" t="s">
        <v>15</v>
      </c>
      <c r="F100" s="6" t="s">
        <v>25</v>
      </c>
      <c r="G100" s="7" t="s">
        <v>405</v>
      </c>
    </row>
    <row r="101" customFormat="false" ht="33.75" hidden="false" customHeight="true" outlineLevel="0" collapsed="false">
      <c r="A101" s="6" t="s">
        <v>406</v>
      </c>
      <c r="B101" s="7" t="s">
        <v>407</v>
      </c>
      <c r="C101" s="8" t="s">
        <v>13</v>
      </c>
      <c r="D101" s="7" t="s">
        <v>408</v>
      </c>
      <c r="E101" s="8" t="s">
        <v>15</v>
      </c>
      <c r="F101" s="6" t="s">
        <v>98</v>
      </c>
      <c r="G101" s="7" t="s">
        <v>409</v>
      </c>
    </row>
    <row r="102" customFormat="false" ht="33.75" hidden="false" customHeight="true" outlineLevel="0" collapsed="false">
      <c r="A102" s="6" t="s">
        <v>410</v>
      </c>
      <c r="B102" s="7" t="s">
        <v>411</v>
      </c>
      <c r="C102" s="8" t="s">
        <v>13</v>
      </c>
      <c r="D102" s="7" t="s">
        <v>412</v>
      </c>
      <c r="E102" s="8" t="s">
        <v>15</v>
      </c>
      <c r="F102" s="6"/>
      <c r="G102" s="7" t="s">
        <v>413</v>
      </c>
    </row>
  </sheetData>
  <mergeCells count="7">
    <mergeCell ref="A1:G1"/>
    <mergeCell ref="A2:G2"/>
    <mergeCell ref="A3:G3"/>
    <mergeCell ref="A6:G6"/>
    <mergeCell ref="A44:G44"/>
    <mergeCell ref="A53:G53"/>
    <mergeCell ref="A68:G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414</v>
      </c>
      <c r="B1" s="1"/>
      <c r="C1" s="1"/>
    </row>
    <row r="3" customFormat="false" ht="15" hidden="false" customHeight="false" outlineLevel="0" collapsed="false">
      <c r="A3" s="13" t="s">
        <v>415</v>
      </c>
      <c r="B3" s="14" t="n">
        <v>93</v>
      </c>
    </row>
    <row r="4" customFormat="false" ht="15" hidden="false" customHeight="false" outlineLevel="0" collapsed="false">
      <c r="A4" s="13" t="s">
        <v>416</v>
      </c>
      <c r="B4" s="14" t="n">
        <f aca="false">COUNTIF(SoA!C:C,"Y")</f>
        <v>92</v>
      </c>
    </row>
    <row r="5" customFormat="false" ht="15" hidden="false" customHeight="false" outlineLevel="0" collapsed="false">
      <c r="A5" s="13" t="s">
        <v>396</v>
      </c>
      <c r="B5" s="14" t="n">
        <f aca="false">COUNTIF(SoA!C:C,"N")</f>
        <v>1</v>
      </c>
    </row>
    <row r="7" customFormat="false" ht="15" hidden="false" customHeight="false" outlineLevel="0" collapsed="false">
      <c r="A7" s="13" t="s">
        <v>15</v>
      </c>
      <c r="B7" s="14" t="n">
        <f aca="false">COUNTIF(SoA!E:E,"Implemented")</f>
        <v>67</v>
      </c>
    </row>
    <row r="8" customFormat="false" ht="15" hidden="false" customHeight="false" outlineLevel="0" collapsed="false">
      <c r="A8" s="13" t="s">
        <v>24</v>
      </c>
      <c r="B8" s="14" t="n">
        <f aca="false">COUNTIF(SoA!E:E,"Partially Implemented")</f>
        <v>24</v>
      </c>
    </row>
    <row r="9" customFormat="false" ht="15" hidden="false" customHeight="false" outlineLevel="0" collapsed="false">
      <c r="A9" s="13" t="s">
        <v>112</v>
      </c>
      <c r="B9" s="14" t="n">
        <f aca="false">COUNTIF(SoA!E:E,"Planned")</f>
        <v>1</v>
      </c>
    </row>
    <row r="10" customFormat="false" ht="15" hidden="false" customHeight="false" outlineLevel="0" collapsed="false">
      <c r="A10" s="13" t="s">
        <v>417</v>
      </c>
      <c r="B10" s="14" t="n">
        <f aca="false">COUNTIF(SoA!E:E,"Not Applicable")</f>
        <v>1</v>
      </c>
    </row>
    <row r="13" customFormat="false" ht="15" hidden="false" customHeight="false" outlineLevel="0" collapsed="false">
      <c r="A13" s="15" t="s">
        <v>418</v>
      </c>
    </row>
    <row r="14" customFormat="false" ht="15" hidden="false" customHeight="false" outlineLevel="0" collapsed="false">
      <c r="A14" s="15" t="s">
        <v>419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2026-07-13T22:35:19Z</dcterms:created>
  <dc:creator>openpyxl</dc:creator>
  <dc:description/>
  <dc:language>en-US</dc:language>
  <cp:lastModifiedBy/>
  <dcterms:modified xsi:type="dcterms:W3CDTF">2026-07-13T22:35:19Z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